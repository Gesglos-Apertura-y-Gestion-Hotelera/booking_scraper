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ESGLOS_DF\"/>
    </mc:Choice>
  </mc:AlternateContent>
  <xr:revisionPtr revIDLastSave="0" documentId="13_ncr:1_{5A0F9862-4B38-4D16-BDC2-4528F33BF2F9}" xr6:coauthVersionLast="47" xr6:coauthVersionMax="47" xr10:uidLastSave="{00000000-0000-0000-0000-000000000000}"/>
  <bookViews>
    <workbookView xWindow="5760" yWindow="3360" windowWidth="17280" windowHeight="8880" activeTab="2" xr2:uid="{9E98B23C-6360-4275-ADF1-08EC9DEFEBC7}"/>
  </bookViews>
  <sheets>
    <sheet name="Cliente" sheetId="1" r:id="rId1"/>
    <sheet name="Competencia" sheetId="2" r:id="rId2"/>
    <sheet name="provisional_template" sheetId="3" r:id="rId3"/>
  </sheets>
  <definedNames>
    <definedName name="Clientes">Cliente[Hotel]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3" l="1"/>
  <c r="D7" i="3"/>
  <c r="F7" i="3" s="1"/>
  <c r="D6" i="3"/>
  <c r="F6" i="3" s="1"/>
  <c r="D5" i="3"/>
  <c r="F5" i="3" s="1"/>
  <c r="D4" i="3"/>
  <c r="F4" i="3" s="1"/>
  <c r="D3" i="3"/>
  <c r="F3" i="3" s="1"/>
  <c r="D2" i="3"/>
  <c r="F2" i="3" s="1"/>
  <c r="D9" i="3"/>
  <c r="F9" i="3" s="1"/>
  <c r="D10" i="3"/>
  <c r="F10" i="3" s="1"/>
  <c r="D11" i="3"/>
  <c r="F11" i="3" s="1"/>
  <c r="D12" i="3"/>
  <c r="F12" i="3" s="1"/>
  <c r="D13" i="3"/>
  <c r="F13" i="3" s="1"/>
  <c r="D14" i="3"/>
  <c r="F14" i="3" s="1"/>
  <c r="D15" i="3"/>
  <c r="F15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5" i="3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7" i="3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9" i="3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1" i="3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3" i="3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5" i="3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7" i="3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9" i="3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1" i="3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3" i="3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5" i="3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7" i="3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9" i="3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3" i="3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5" i="3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7" i="3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7" i="3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9" i="3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1" i="3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3" i="3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5" i="3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7" i="3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9" i="3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1" i="3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3" i="3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5" i="3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7" i="3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9" i="3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3" i="3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5" i="3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7" i="3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C126" i="2"/>
  <c r="D126" i="2" s="1"/>
  <c r="C127" i="2"/>
  <c r="D127" i="2" s="1"/>
  <c r="C128" i="2"/>
  <c r="D128" i="2" s="1"/>
  <c r="C129" i="2"/>
  <c r="D129" i="2" s="1"/>
  <c r="C125" i="2"/>
  <c r="D125" i="2" s="1"/>
  <c r="C124" i="2"/>
  <c r="D124" i="2" s="1"/>
  <c r="C122" i="2"/>
  <c r="D122" i="2" s="1"/>
  <c r="C123" i="2"/>
  <c r="D123" i="2" s="1"/>
  <c r="C121" i="2"/>
  <c r="D121" i="2" s="1"/>
  <c r="C120" i="2"/>
  <c r="D120" i="2" s="1"/>
  <c r="C119" i="2"/>
  <c r="D119" i="2" s="1"/>
  <c r="C118" i="2"/>
  <c r="D118" i="2" s="1"/>
  <c r="D113" i="2"/>
  <c r="D114" i="2"/>
  <c r="D115" i="2"/>
  <c r="D116" i="2"/>
  <c r="D117" i="2"/>
  <c r="D29" i="2"/>
  <c r="D108" i="2"/>
  <c r="D112" i="2"/>
  <c r="C109" i="2"/>
  <c r="D109" i="2" s="1"/>
  <c r="D107" i="2"/>
  <c r="D110" i="2"/>
  <c r="D111" i="2"/>
  <c r="C68" i="2"/>
  <c r="D68" i="2" s="1"/>
  <c r="C40" i="2"/>
  <c r="D40" i="2" s="1"/>
  <c r="C70" i="2"/>
  <c r="D70" i="2" s="1"/>
  <c r="C73" i="2"/>
  <c r="D73" i="2" s="1"/>
  <c r="D25" i="2"/>
  <c r="D77" i="2"/>
  <c r="D61" i="2"/>
  <c r="D50" i="2"/>
  <c r="C66" i="2"/>
  <c r="D66" i="2" s="1"/>
  <c r="C63" i="2"/>
  <c r="D63" i="2" s="1"/>
  <c r="D62" i="2"/>
  <c r="D64" i="2"/>
  <c r="D65" i="2"/>
  <c r="C47" i="2"/>
  <c r="D47" i="2" s="1"/>
  <c r="D53" i="2"/>
  <c r="C44" i="2"/>
  <c r="D44" i="2" s="1"/>
  <c r="D104" i="2"/>
  <c r="D105" i="2"/>
  <c r="D106" i="2"/>
  <c r="D102" i="2"/>
  <c r="D103" i="2"/>
  <c r="D94" i="2"/>
  <c r="D95" i="2"/>
  <c r="D96" i="2"/>
  <c r="D97" i="2"/>
  <c r="D98" i="2"/>
  <c r="D99" i="2"/>
  <c r="D100" i="2"/>
  <c r="D101" i="2"/>
  <c r="D84" i="2"/>
  <c r="C85" i="2"/>
  <c r="D85" i="2" s="1"/>
  <c r="D86" i="2"/>
  <c r="D87" i="2"/>
  <c r="D88" i="2"/>
  <c r="D89" i="2"/>
  <c r="D90" i="2"/>
  <c r="D91" i="2"/>
  <c r="D92" i="2"/>
  <c r="D93" i="2"/>
  <c r="D75" i="2"/>
  <c r="D76" i="2"/>
  <c r="D78" i="2"/>
  <c r="D79" i="2"/>
  <c r="D80" i="2"/>
  <c r="D81" i="2"/>
  <c r="D82" i="2"/>
  <c r="D83" i="2"/>
  <c r="C67" i="2"/>
  <c r="D67" i="2" s="1"/>
  <c r="C69" i="2"/>
  <c r="D69" i="2" s="1"/>
  <c r="C71" i="2"/>
  <c r="D71" i="2" s="1"/>
  <c r="C72" i="2"/>
  <c r="D72" i="2" s="1"/>
  <c r="C74" i="2"/>
  <c r="D74" i="2" s="1"/>
  <c r="C52" i="2"/>
  <c r="D52" i="2" s="1"/>
  <c r="D54" i="2"/>
  <c r="C55" i="2"/>
  <c r="D55" i="2" s="1"/>
  <c r="D56" i="2"/>
  <c r="D57" i="2"/>
  <c r="D58" i="2"/>
  <c r="D59" i="2"/>
  <c r="D60" i="2"/>
  <c r="D51" i="2"/>
  <c r="C49" i="2"/>
  <c r="D49" i="2" s="1"/>
  <c r="C46" i="2"/>
  <c r="D46" i="2" s="1"/>
  <c r="C16" i="2"/>
  <c r="D16" i="2" s="1"/>
  <c r="C12" i="2"/>
  <c r="D12" i="2" s="1"/>
  <c r="C23" i="2"/>
  <c r="D23" i="2" s="1"/>
  <c r="C22" i="2"/>
  <c r="D22" i="2" s="1"/>
  <c r="C24" i="2"/>
  <c r="D24" i="2" s="1"/>
  <c r="C26" i="2"/>
  <c r="D26" i="2" s="1"/>
  <c r="D21" i="2"/>
  <c r="C27" i="2"/>
  <c r="D27" i="2" s="1"/>
  <c r="C20" i="2"/>
  <c r="D20" i="2" s="1"/>
  <c r="C10" i="2"/>
  <c r="D10" i="2" s="1"/>
  <c r="C13" i="2"/>
  <c r="D13" i="2" s="1"/>
  <c r="C9" i="2"/>
  <c r="D9" i="2" s="1"/>
  <c r="D11" i="2"/>
  <c r="C14" i="2"/>
  <c r="D14" i="2" s="1"/>
  <c r="C15" i="2"/>
  <c r="D15" i="2" s="1"/>
  <c r="C19" i="2"/>
  <c r="D19" i="2" s="1"/>
  <c r="C17" i="2"/>
  <c r="D17" i="2" s="1"/>
  <c r="C18" i="2"/>
  <c r="D18" i="2" s="1"/>
  <c r="C5" i="2"/>
  <c r="D5" i="2" s="1"/>
  <c r="C4" i="2"/>
  <c r="D4" i="2" s="1"/>
  <c r="C7" i="2"/>
  <c r="D7" i="2" s="1"/>
  <c r="D8" i="2"/>
  <c r="D6" i="2"/>
  <c r="D2" i="2"/>
  <c r="D3" i="2"/>
  <c r="C43" i="2"/>
  <c r="D43" i="2" s="1"/>
  <c r="C39" i="2"/>
  <c r="D39" i="2" s="1"/>
  <c r="C41" i="2"/>
  <c r="D41" i="2" s="1"/>
  <c r="C45" i="2"/>
  <c r="D45" i="2" s="1"/>
  <c r="C42" i="2"/>
  <c r="D42" i="2" s="1"/>
  <c r="C48" i="2"/>
  <c r="D48" i="2" s="1"/>
  <c r="C34" i="2"/>
  <c r="D34" i="2" s="1"/>
  <c r="C30" i="2"/>
  <c r="D30" i="2" s="1"/>
  <c r="C31" i="2"/>
  <c r="D31" i="2" s="1"/>
  <c r="C36" i="2"/>
  <c r="D36" i="2" s="1"/>
  <c r="C35" i="2"/>
  <c r="D35" i="2" s="1"/>
  <c r="C32" i="2"/>
  <c r="D32" i="2" s="1"/>
  <c r="C33" i="2"/>
  <c r="D33" i="2" s="1"/>
  <c r="C28" i="2"/>
  <c r="D28" i="2" s="1"/>
  <c r="C38" i="2"/>
  <c r="D38" i="2" s="1"/>
  <c r="C37" i="2"/>
  <c r="D37" i="2" s="1"/>
  <c r="F8" i="3" l="1"/>
</calcChain>
</file>

<file path=xl/sharedStrings.xml><?xml version="1.0" encoding="utf-8"?>
<sst xmlns="http://schemas.openxmlformats.org/spreadsheetml/2006/main" count="408" uniqueCount="135">
  <si>
    <t>Hotel</t>
  </si>
  <si>
    <t>Competidor</t>
  </si>
  <si>
    <t>Ciudad</t>
  </si>
  <si>
    <t>Habitaciones</t>
  </si>
  <si>
    <t>Mariquita</t>
  </si>
  <si>
    <t>Buscar</t>
  </si>
  <si>
    <t>MARINILLA, ANTIOQUIA</t>
  </si>
  <si>
    <t>GUATAPÉ</t>
  </si>
  <si>
    <t>EL PEÑOL, GUATAPÉ</t>
  </si>
  <si>
    <t>Cerro Dorado</t>
  </si>
  <si>
    <t>Finca Rancho de Luigi</t>
  </si>
  <si>
    <t>Hotel Refugio Bike</t>
  </si>
  <si>
    <t>Hotel Marqueta</t>
  </si>
  <si>
    <t>Glamping Ciudad Perdida Falan</t>
  </si>
  <si>
    <t>Hotel Boutique Posada Las Trampas</t>
  </si>
  <si>
    <t>Cannua Lodge</t>
  </si>
  <si>
    <t xml:space="preserve">Glamping con jacuzzi </t>
  </si>
  <si>
    <t>Tau House</t>
  </si>
  <si>
    <t>Bosko</t>
  </si>
  <si>
    <t>The Boato Hotel</t>
  </si>
  <si>
    <t>Luxé Cabañas</t>
  </si>
  <si>
    <t>La Pausa Hotelbistro</t>
  </si>
  <si>
    <t>Ibuku Hotel Guatapé - Chalets</t>
  </si>
  <si>
    <t>Atma Eco Village</t>
  </si>
  <si>
    <t>Levit Glamping - Hotel Guatapé Peñol</t>
  </si>
  <si>
    <t>Glamping The Mountain</t>
  </si>
  <si>
    <t>BubbleSky Glamping Guatapé</t>
  </si>
  <si>
    <t>Bethel Lozana Guatape</t>
  </si>
  <si>
    <t>Arvum Hotel Boutique</t>
  </si>
  <si>
    <t>Vivanti Resort</t>
  </si>
  <si>
    <t>Hotel La Magdalena Adult Only</t>
  </si>
  <si>
    <t>Hotel Mansión Guatapé</t>
  </si>
  <si>
    <t>Ayenda Hotel Bambu Guatape</t>
  </si>
  <si>
    <t>Hotel Casa Linda Guatape</t>
  </si>
  <si>
    <t>Movich Hotel Las Lomas</t>
  </si>
  <si>
    <t>MG Hotels &amp; Suites</t>
  </si>
  <si>
    <t>La Casona de Sara</t>
  </si>
  <si>
    <t>Waka Hotel Rural</t>
  </si>
  <si>
    <t>Casa De Amigos Hotel Boutique</t>
  </si>
  <si>
    <t>Eco-Glamping Shalom</t>
  </si>
  <si>
    <t>Hotel Boutique San Rafael</t>
  </si>
  <si>
    <t>1714 Hotel Boutique Guatapé</t>
  </si>
  <si>
    <t>Hotel Spa Bliss Guatape</t>
  </si>
  <si>
    <t>Aeropuerto Rionegro- Medellin Hotel Mansión Sant Serrant</t>
  </si>
  <si>
    <t>Hotel Brisas La Gaviota Mariquit-Tolima</t>
  </si>
  <si>
    <t>Hobbit Hotel Ecolodge- Guatapé</t>
  </si>
  <si>
    <t>El peñol, Guatapé</t>
  </si>
  <si>
    <t>San simon glamping, El peñol, Guatape</t>
  </si>
  <si>
    <t>Domus Glamping Guatapé</t>
  </si>
  <si>
    <t>Brisas de Guatapé</t>
  </si>
  <si>
    <t>Hotel Real Guatapé.</t>
  </si>
  <si>
    <t xml:space="preserve">Eden Hotel </t>
  </si>
  <si>
    <t>Magic View El peñol, Guatapé</t>
  </si>
  <si>
    <t>Glamping la Cepa GUATAPÉ</t>
  </si>
  <si>
    <t>El Trebol</t>
  </si>
  <si>
    <t>Glamping con jacuzzi y cocina- El Peñol a 30 minutos de Guatapé</t>
  </si>
  <si>
    <t>Jordan Hotel Boutique</t>
  </si>
  <si>
    <t>Hotel Pietrasanta</t>
  </si>
  <si>
    <t>Hotel Omaga El peñol- Guatape</t>
  </si>
  <si>
    <t>Hotel Stay Guatape a dos cuadras del parque</t>
  </si>
  <si>
    <t>Hotel Las Vegas</t>
  </si>
  <si>
    <t>Hotel porto guatapé</t>
  </si>
  <si>
    <t>San Simon Glamping,El peñol,Guatape</t>
  </si>
  <si>
    <t>Cabañas Navegar- El peñol, Guatape</t>
  </si>
  <si>
    <t>Cabañas Refugio Himalaya</t>
  </si>
  <si>
    <t>San Simon Glamping,El peñol,Guatape, Guatapé (precios actualizados 2024) (booking.com)</t>
  </si>
  <si>
    <t>Cabañas Navegar- El peñol, Guatape, Guatapé (precios actualizados 2024) (booking.com)</t>
  </si>
  <si>
    <t>Magic View - El peñol, Guatape, El Peñol (precios actualizados 2024) (booking.com)</t>
  </si>
  <si>
    <t>Refugio del Lago, Guatapé (precios actualizados 2024) (booking.com)</t>
  </si>
  <si>
    <t>Suite Gold Rocks Glamping, El Peñol (precios actualizados 2024) (booking.com)</t>
  </si>
  <si>
    <t>Eco Lodge Glamping, Guatapé (precios actualizados 2024) (booking.com)</t>
  </si>
  <si>
    <t>Glamping Montecarlo Domo Geodesico y Sauna Finlandés Guatapé, Guatapé (precios actualizados 2024) (booking.com)</t>
  </si>
  <si>
    <t>Finca 3 - Dakeva, El Peñol (precios actualizados 2024) (booking.com)</t>
  </si>
  <si>
    <t>Casa Encuentro by Haus</t>
  </si>
  <si>
    <t>El espume de San Juan By JR</t>
  </si>
  <si>
    <t>Finca las 3 marias</t>
  </si>
  <si>
    <t>Finca Alejandria</t>
  </si>
  <si>
    <t>Villa Aldebaran</t>
  </si>
  <si>
    <t>Finca villa maru</t>
  </si>
  <si>
    <t>Hermosa Casa de campo el peñol Gutape</t>
  </si>
  <si>
    <t>Finca-Hotel Montecarlo
Guatape by Hope</t>
  </si>
  <si>
    <t>Finca villa sofia</t>
  </si>
  <si>
    <t>Finca Maica</t>
  </si>
  <si>
    <t>Finca con jacuzzi a 15min de Guatape</t>
  </si>
  <si>
    <t>EDYMA 
Cabaña</t>
  </si>
  <si>
    <t>Finca Carmela</t>
  </si>
  <si>
    <t>Villa Lisboa</t>
  </si>
  <si>
    <t>Cabaña 
La Heliconia</t>
  </si>
  <si>
    <t>Finca Parcelación Alemania 1 El peñol, Guatapé</t>
  </si>
  <si>
    <t>EDYMA 
Cabaña con jacuzzi</t>
  </si>
  <si>
    <t>Loge Cabaña peñol-Guatape</t>
  </si>
  <si>
    <t>Finca la Marina el peñol,Guatapé</t>
  </si>
  <si>
    <t>Hotel Stay Guatape a dos cuadras del parque.</t>
  </si>
  <si>
    <t>Cabañas Navegar- El peñol, guatape</t>
  </si>
  <si>
    <t>EL PEÑOL</t>
  </si>
  <si>
    <t>Santa Maria de las Aguas  peñol</t>
  </si>
  <si>
    <t>Guatapé</t>
  </si>
  <si>
    <t xml:space="preserve">El peñol </t>
  </si>
  <si>
    <t>El peñol</t>
  </si>
  <si>
    <t>Cabañas tipo glamping cerca al peñol LUUM</t>
  </si>
  <si>
    <t>Finca 1- Dakeva</t>
  </si>
  <si>
    <t>Cabaña el mirador azul</t>
  </si>
  <si>
    <t>Espectacular Cabaña Loft en Guatape - Jacuzzi</t>
  </si>
  <si>
    <t>Hotel Guatatur</t>
  </si>
  <si>
    <t>Se abre en una ventana nueva</t>
  </si>
  <si>
    <t>Hotel spa bliss guatapé</t>
  </si>
  <si>
    <t>Hotel Portobelo Guatape</t>
  </si>
  <si>
    <t>Hotel Brisas De Guatape</t>
  </si>
  <si>
    <t>Bramasole Hotel Boutique - El Peñol</t>
  </si>
  <si>
    <t>NOMADA HOTEL GUATAPE</t>
  </si>
  <si>
    <t>La Madriguera</t>
  </si>
  <si>
    <t>Hotel Las Guacamayas Guatapé</t>
  </si>
  <si>
    <t>Rooca Guatape</t>
  </si>
  <si>
    <t>Hotel Santorini</t>
  </si>
  <si>
    <t>Guatape</t>
  </si>
  <si>
    <t>Hotel y Termales Castillo Del Lago Guatape</t>
  </si>
  <si>
    <t>1811 Villas Guatapé</t>
  </si>
  <si>
    <t>Marina Navegar- El peñol, Guatape</t>
  </si>
  <si>
    <t>Hotel Z3</t>
  </si>
  <si>
    <t>Bayit Tov Circunvalar Hotel</t>
  </si>
  <si>
    <t>Zi One Luxury Hotel</t>
  </si>
  <si>
    <t>Hotel Go Pereira</t>
  </si>
  <si>
    <t>Santorini Apartamentos Amoblados</t>
  </si>
  <si>
    <t>El Gran Hotel de Pereira</t>
  </si>
  <si>
    <t>GHL Hotel Abadia Plaza</t>
  </si>
  <si>
    <t>Luxor Plaza H&amp;S</t>
  </si>
  <si>
    <t>Pereira</t>
  </si>
  <si>
    <t xml:space="preserve">Guatapé </t>
  </si>
  <si>
    <t>Hotel Real Guatapé</t>
  </si>
  <si>
    <t>Hotel Chromatic</t>
  </si>
  <si>
    <t>Hotel Portal Guatapé</t>
  </si>
  <si>
    <t>Ocupadas</t>
  </si>
  <si>
    <t>Tarifa</t>
  </si>
  <si>
    <t>Total_Ingresos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</si>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</sst>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rgb="FF006CE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0" borderId="0" xfId="1" applyBorder="1" applyAlignment="1">
      <alignment vertical="center" wrapText="1"/>
    </xf>
    <xf numFmtId="0" fontId="4" fillId="2" borderId="0" xfId="0" applyFont="1" applyFill="1"/>
    <xf numFmtId="0" fontId="4" fillId="3" borderId="0" xfId="0" applyFont="1" applyFill="1"/>
    <xf numFmtId="0" fontId="1" fillId="0" borderId="0" xfId="1" applyBorder="1" applyAlignment="1">
      <alignment vertical="center"/>
    </xf>
    <xf numFmtId="0" fontId="4" fillId="0" borderId="0" xfId="0" applyFont="1"/>
    <xf numFmtId="0" fontId="4" fillId="0" borderId="0" xfId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1" applyFont="1" applyBorder="1" applyAlignment="1">
      <alignment vertical="center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14" fontId="0" fillId="0" borderId="0" xfId="0" applyNumberFormat="1"/>
    <xf numFmtId="6" fontId="0" fillId="0" borderId="0" xfId="0" applyNumberFormat="1"/>
  </cellXfs>
  <cellStyles count="2">
    <cellStyle name="Hipervínculo" xfId="1" builtinId="8"/>
    <cellStyle name="Normal" xfId="0" builtinId="0"/>
  </cellStyles>
  <dxfs count="13">
    <dxf>
      <numFmt numFmtId="10" formatCode="&quot;$&quot;\ #,##0;[Red]\-&quot;$&quot;\ #,##0"/>
    </dxf>
    <dxf>
      <numFmt numFmtId="10" formatCode="&quot;$&quot;\ #,##0;[Red]\-&quot;$&quot;\ #,##0"/>
    </dxf>
    <dxf>
      <numFmt numFmtId="0" formatCode="General"/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D21182-D43C-470A-B09C-33D59F642357}" name="Cliente" displayName="Cliente" ref="A1:G19" totalsRowShown="0">
  <autoFilter ref="A1:G19" xr:uid="{29D21182-D43C-470A-B09C-33D59F642357}"/>
  <tableColumns count="7">
    <tableColumn id="1" xr3:uid="{CC04C55D-8CB7-40F1-833F-D90CF1A4145F}" name="Ciudad"/>
    <tableColumn id="2" xr3:uid="{17B68B82-A713-489E-AF21-1C354461B526}" name="Hotel"/>
    <tableColumn id="3" xr3:uid="{CD646573-BBAF-4C33-BD50-2FBDBDF537F1}" name="Habitaciones"/>
    <tableColumn id="4" xr3:uid="{A3EF6BE0-FA14-41C9-A81E-B855AD1B86D0}" name="Ocupadas"/>
    <tableColumn id="5" xr3:uid="{A16515AB-C64E-4549-9DF9-7389CFD156EA}" name="Tarifa"/>
    <tableColumn id="6" xr3:uid="{ADB59CD3-1F51-4D52-9AB5-081780355BF5}" name="Total_Ingresos"/>
    <tableColumn id="7" xr3:uid="{33650942-59D0-46A0-8FEA-E53C2750F5A0}" name="Regist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E63BE7-3823-4732-A186-4FE3C032EC28}" name="Competencia" displayName="Competencia" ref="A1:D129" totalsRowShown="0" headerRowDxfId="8" dataDxfId="7">
  <autoFilter ref="A1:D129" xr:uid="{9BE63BE7-3823-4732-A186-4FE3C032EC28}"/>
  <sortState xmlns:xlrd2="http://schemas.microsoft.com/office/spreadsheetml/2017/richdata2" ref="A2:D48">
    <sortCondition ref="A1:A48"/>
  </sortState>
  <tableColumns count="4">
    <tableColumn id="1" xr3:uid="{A7901FE8-C6FF-4F44-9910-F8BC86D9C51A}" name="Hotel" dataDxfId="6"/>
    <tableColumn id="2" xr3:uid="{8874C2CB-3857-44FC-8DE5-C97BCE355615}" name="Competidor" dataDxfId="5"/>
    <tableColumn id="3" xr3:uid="{D303086F-32DF-4214-9F0B-3463D4C96421}" name="Ciudad" dataDxfId="4">
      <calculatedColumnFormula>+INDEX(Cliente[Ciudad],MATCH(Competencia[[#This Row],[Hotel]],Cliente[Hotel],0),1)</calculatedColumnFormula>
    </tableColumn>
    <tableColumn id="4" xr3:uid="{D4EE1D45-076C-4CB6-B079-4690DC785BDB}" name="Buscar" dataDxfId="3">
      <calculatedColumnFormula>+Competencia[[#This Row],[Competidor]]&amp;", "&amp;Competencia[[#This Row],[Ciudad]]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94065-A902-43F6-B090-B558A3678576}" name="Cliente2" displayName="Cliente2" ref="A1:G757" totalsRowShown="0">
  <autoFilter ref="A1:G757" xr:uid="{CBC94065-A902-43F6-B090-B558A3678576}"/>
  <tableColumns count="7">
    <tableColumn id="1" xr3:uid="{2AF60C71-8D56-468C-9CC4-BD15BC00353F}" name="Ciudad"/>
    <tableColumn id="2" xr3:uid="{6005CAC3-37B2-4074-937E-9F99354D2696}" name="Hotel"/>
    <tableColumn id="3" xr3:uid="{22288B2C-2FDC-4E1A-9623-EA59B494D5B4}" name="Habitaciones"/>
    <tableColumn id="4" xr3:uid="{8FCC5376-2E93-498D-B720-45DF9B9D00EF}" name="Ocupadas" dataDxfId="2">
      <calculatedColumnFormula>+RANDBETWEEN(1,33)</calculatedColumnFormula>
    </tableColumn>
    <tableColumn id="5" xr3:uid="{537BF327-E4D0-473F-96C5-297CE6D34C0B}" name="Tarifa" dataDxfId="1"/>
    <tableColumn id="6" xr3:uid="{4C30928C-FA34-4CC5-9A2D-AF0F44D23A49}" name="Total_Ingresos" dataDxfId="0">
      <calculatedColumnFormula>+Cliente2[[#This Row],[Ocupadas]]*Cliente2[[#This Row],[Tarifa]]</calculatedColumnFormula>
    </tableColumn>
    <tableColumn id="7" xr3:uid="{F81BF632-8D09-44D7-BB79-BBC28AE5F3F0}" name="Regis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co/portobelo-guatape.es.html?label=English_Colombia_EN_CO_29562107545-_WDZKP6aira3zHoJLRwvgQS217246346796%3Apl%3Ata%3Ap1%3Ap2%3Aac%3Aap%3Aneg%3Afi55625023303%3Atidsa-323233910078%3Alp20198%3Ali%3Adec%3Adm&amp;sid=93fa566f322f808be7ab10c4661acff5&amp;aid=318615&amp;ucfs=1&amp;arphpl=1&amp;group_adults=2&amp;req_adults=2&amp;no_rooms=1&amp;group_children=0&amp;req_children=0&amp;hpos=8&amp;hapos=8&amp;sr_order=distance_from_search&amp;srpvid=229b6189d75b001e&amp;srepoch=1739800347&amp;from=searchresults" TargetMode="External"/><Relationship Id="rId3" Type="http://schemas.openxmlformats.org/officeDocument/2006/relationships/hyperlink" Target="https://www.booking.com/hotel/co/san-simon-glamping.es.html?label=gog235jc-1DCAsoMkISc2FuLXNpbW9uLWdsYW1waW5nSApYA2gyiAEBmAEKuAEYyAEM2AED6AEB-AECiAIBqAIEuALKyvS5BsACAdICJGRhOWU1YjNmLTM5MzItNGIxZS1hMDUwLWYyYTRjMGYzNmY2NNgCBOACAQ&amp;sid=1ceb258b5da5325b1f375fc1eb8f6953&amp;aid=356980&amp;ucfs=1&amp;arphpl=1&amp;checkin=2024-11-21&amp;checkout=2024-11-22&amp;dest_id=-585862&amp;dest_type=city&amp;group_adults=1&amp;req_adults=1&amp;no_rooms=1&amp;group_children=0&amp;req_children=0&amp;hpos=1&amp;hapos=1&amp;sr_order=popularity&amp;srpvid=2454a8257e62031b&amp;srepoch=1732060537&amp;all_sr_blocks=1064978104_378886258_2_0_0&amp;highlighted_blocks=1064978104_378886258_2_0_0&amp;matching_block_id=1064978104_378886258_2_0_0&amp;sr_pri_blocks=1064978104_378886258_2_0_0__20800000&amp;from=searchresults" TargetMode="External"/><Relationship Id="rId7" Type="http://schemas.openxmlformats.org/officeDocument/2006/relationships/hyperlink" Target="https://www.booking.com/hotel/co/cabanas-navegar.es-mx.html?label=Spanish_Colombia_ES_CO_20153959105-JvWA_BiunE_YalmU9PDZ_QS640874832178%3Apl%3Ata%3Ap1%3Ap2%3Aac%3Aap%3Aneg%3Afi%3Atidsa-162435870265%3Alp20198%3Ali%3Adec%3Adm%3Aag20153959105%3Acmp313803625&amp;sid=1ceb258b5da5325b1f375fc1eb8f6953&amp;aid=318615&amp;ucfs=1&amp;arphpl=1&amp;checkin=2025-01-16&amp;checkout=2025-01-17&amp;dest_id=-585862&amp;dest_type=city&amp;group_adults=2&amp;req_adults=2&amp;no_rooms=1&amp;group_children=1&amp;req_children=1&amp;age=1&amp;req_age=1&amp;hpos=1&amp;hapos=1&amp;sr_order=popularity&amp;srpvid=93d05827e77d073c&amp;srepoch=1734611241&amp;all_sr_blocks=953678210_384057531_5_0_0&amp;highlighted_blocks=953678210_384057531_5_0_0&amp;matching_block_id=953678210_384057531_5_0_0&amp;sr_pri_blocks=953678210_384057531_5_0_0__31900000&amp;from=searchresults" TargetMode="External"/><Relationship Id="rId2" Type="http://schemas.openxmlformats.org/officeDocument/2006/relationships/hyperlink" Target="https://www.booking.com/hotel/co/stay.es.html?label=gog235jc-1DCAsoMkIEc3RheUgKWANoMogBAZgBCrgBGMgBDNgBA-gBAfgBAogCAagCBLgCoML0uQbAAgHSAiQxZTM1MDgxZS1lODRhLTQyMWYtODgxYy1lNzI3YTIxMzkyYjXYAgTgAgE&amp;sid=1ceb258b5da5325b1f375fc1eb8f6953&amp;aid=356980&amp;ucfs=1&amp;arphpl=1&amp;checkin=2024-11-21&amp;checkout=2024-11-22&amp;dest_id=-585862&amp;dest_type=city&amp;group_adults=1&amp;req_adults=1&amp;no_rooms=1&amp;group_children=0&amp;req_children=0&amp;hpos=1&amp;hapos=1&amp;sr_order=popularity&amp;srpvid=127ea610a0e30240&amp;srepoch=1732059482&amp;all_sr_blocks=1112627201_394827974_1_0_0&amp;highlighted_blocks=1112627201_394827974_1_0_0&amp;matching_block_id=1112627201_394827974_1_0_0&amp;sr_pri_blocks=1112627201_394827974_1_0_0__11760000&amp;from_sustainable_property_sr=1&amp;from=searchresults" TargetMode="External"/><Relationship Id="rId1" Type="http://schemas.openxmlformats.org/officeDocument/2006/relationships/hyperlink" Target="https://www.booking.com/hotel/co/omaga.es.html?label=metagha-link-LUCO-hotel-6316547_dev-desktop_los-1_bw-9_dow-Thursday_defdate-0_room-0_gstadt-2_rateid-public_aud-0_gacid-21415124842_mcid-10_ppa-0_clrid-0_ad-1_gstkid-0_checkin-20241128_ppt-Co_lp-2170_r-4994707831949072125&amp;sid=1ceb258b5da5325b1f375fc1eb8f6953&amp;utm_source=metagha&amp;utm_medium=localuniversal&amp;utm_term=hotel-6316547&amp;utm_content=dev-desktop_los-1_bw-9_dow-Thursday_defdate-0_room-0_gstadt-2_rateid-public_aud-0_gacid-21415124842_mcid-10_ppa-0_clrid-0_ad-1_gstkid-0_checkin-20241128_ppt-Co&amp;utm_campaign=CO&amp;gclid=Cj0KCQiAi_G5BhDXARIsAN5SX7o45HMfbv9Du7i_-j1GdzKiVOFGIyr1YKksvuiXYTylNBYLKm0yOdcaAtpSEALw_wcB&amp;aid=356938&amp;ucfs=1&amp;arphpl=1&amp;checkin=2024-11-28&amp;checkout=2024-11-29&amp;dest_id=900058844&amp;dest_type=city&amp;group_adults=2&amp;req_adults=2&amp;no_rooms=1&amp;group_children=0&amp;req_children=0&amp;hpos=1&amp;hapos=1&amp;sr_order=popularity&amp;srpvid=e982a5d7809901c1&amp;srepoch=1732059371&amp;all_sr_blocks=631654701_403431312_2_2_0_703336&amp;highlighted_blocks=631654701_403431312_2_2_0_703336&amp;matching_block_id=631654701_403431312_2_2_0_703336&amp;sr_pri_blocks=631654701_403431312_2_2_0_703336_13440000&amp;from=searchresults" TargetMode="External"/><Relationship Id="rId6" Type="http://schemas.openxmlformats.org/officeDocument/2006/relationships/hyperlink" Target="https://www.booking.com/hotel/co/finca-parcelacion-alemania-1.es.html?label=gog235jc-1BCAsoMkIcZmluY2EtcGFyY2VsYWNpb24tYWxlbWFuaWEtMUgEWANoMogBAZgBCrgBGMgBDNgBAegBAYgCAagCBLgCsNP0uQbAAgHSAiRmYzZlZGIyYS03MTgyLTQ5OGMtYmE5MC00YzE3ODAyNGEwNGLYAgXgAgE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c826019951a600bc&amp;srepoch=1732061666&amp;all_sr_blocks=1293010901_402244377_4_0_0&amp;highlighted_blocks=1293010901_402244377_4_0_0&amp;matching_block_id=1293010901_402244377_4_0_0&amp;sr_pri_blocks=1293010901_402244377_4_0_0__40000000&amp;from=searchresults" TargetMode="External"/><Relationship Id="rId5" Type="http://schemas.openxmlformats.org/officeDocument/2006/relationships/hyperlink" Target="https://www.booking.com/hotel/co/finca-con-jacuzzi-a-15min-de-guatape.es.html?label=gog235jc-1BCAsoMkIkZmluY2EtY29uLWphY3V6emktYS0xNW1pbi1kZS1ndWF0YXBlSFJYA2gyiAEBmAEKuAEYyAEM2AEB6AEBiAIBqAIEuAK80vS5BsACAdICJDRhZmQ0YTAxLWM0ZTgtNGNhZC04OGU1LTMzNDllMWZkN2U1M9gCBeACAQ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9fc2015f23080068&amp;srepoch=1732061550&amp;all_sr_blocks=1277805301_400689207_10_0_0&amp;highlighted_blocks=1277805301_400689207_10_0_0&amp;matching_block_id=1277805301_400689207_10_0_0&amp;sr_pri_blocks=1277805301_400689207_10_0_0__80000000&amp;from=searchresults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booking.com/hotel/co/glmping-5-elementos-el-penol-a-30-minutos-de-guatape.es.html?label=gog235jc-1DCAsoMkI0Z2xtcGluZy01LWVsZW1lbnRvcy1lbC1wZW5vbC1hLTMwLW1pbnV0b3MtZGUtZ3VhdGFwZUgKWANoMogBAZgBCrgBGMgBDNgBA-gBAfgBAogCAagCBLgCytH0uQbAAgHSAiQ1ZDRmYjA0Yi1kYjM4LTQ5YzctODI5ZC0yYTJlNzA0MDViNDDYAgTgAgE&amp;sid=1ceb258b5da5325b1f375fc1eb8f6953&amp;aid=356980&amp;ucfs=1&amp;arphpl=1&amp;checkin=2024-11-21&amp;checkout=2024-11-22&amp;dest_id=900058844&amp;dest_type=city&amp;group_adults=1&amp;req_adults=1&amp;no_rooms=1&amp;group_children=0&amp;req_children=0&amp;hpos=1&amp;hapos=1&amp;sr_order=popularity&amp;srpvid=52520125a579028e&amp;srepoch=1732061433&amp;all_sr_blocks=1261771001_401045264_2_1_0_637070&amp;highlighted_blocks=1261771001_401045264_2_1_0_637070&amp;matching_block_id=1261771001_401045264_2_1_0_637070&amp;sr_pri_blocks=1261771001_401045264_2_1_0_637070_30800000&amp;from_sustainable_property_sr=1&amp;from=searchresults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oking.com/hotel/co/boutique-san-rafael-mariquit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6851639&amp;dest_type=hotel&amp;group_adults=2&amp;req_adults=2&amp;no_rooms=1&amp;group_children=0&amp;req_children=0&amp;hpos=1&amp;hapos=1&amp;sr_order=popularity&amp;srpvid=ca8496c37e59026f&amp;srepoch=1731101195&amp;all_sr_blocks=685163901_298887798_2_1_0&amp;highlighted_blocks=685163901_298887798_2_1_0&amp;matching_block_id=685163901_298887798_2_1_0&amp;sr_pri_blocks=685163901_298887798_2_1_0__244800000&amp;from=searchresults" TargetMode="External"/><Relationship Id="rId21" Type="http://schemas.openxmlformats.org/officeDocument/2006/relationships/hyperlink" Target="https://www.booking.com/hotel/co/hacienda-el-placer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1072730&amp;dest_type=hotel&amp;group_adults=2&amp;req_adults=2&amp;no_rooms=1&amp;group_children=0&amp;req_children=0&amp;hpos=1&amp;hapos=1&amp;sr_order=popularity&amp;srpvid=2769965741f0039b&amp;srepoch=1731100978&amp;all_sr_blocks=107273020_348106236_0_1_0&amp;highlighted_blocks=107273020_348106236_0_1_0&amp;matching_block_id=107273020_348106236_0_1_0&amp;sr_pri_blocks=107273020_348106236_0_1_0__290160000&amp;from_sustainable_property_sr=1&amp;from=searchresults" TargetMode="External"/><Relationship Id="rId42" Type="http://schemas.openxmlformats.org/officeDocument/2006/relationships/hyperlink" Target="https://www.booking.com/hotel/co/glamping-domo-geodesico-guatape.es.html?aid=304142&amp;label=gen173nr-1FCAEoggI46AdIM1gEaDKIAQGYAQq4ARjIAQzYAQHoAQH4AQyIAgGoAgS4AtaL6LUGwAIB0gIkNjdiNjQ5ZmQtMzJlYy00NmE1LThhOGUtMmU0ZmUyYTgxZjIz2AIG4AIB&amp;sid=d0e7b2a1316f88f544ee0e1e96c3d09e&amp;all_sr_blocks=710786401_343638428_2_1_0;checkin=2024-11-22;checkout=2024-11-23;dest_id=900058844;dest_type=city;dist=0;group_adults=2;group_children=0;hapos=20;highlighted_blocks=710786401_343638428_2_1_0;hpos=20;matching_block_id=710786401_343638428_2_1_0;nflt=hotelfacility%3D4%3Bhotelfacility%3D107%3Bpopular_activities%3D63%3Bht_id%3D220%3Bht_id%3D213;no_rooms=1;req_adults=2;req_children=0;room1=A%2CA;sb_price_type=total;sr_order=popularity;sr_pri_blocks=710786401_343638428_2_1_0__52650000;srepoch=1723467581;srpvid=4deb5b36216c05f2;type=total;ucfs=1&amp;" TargetMode="External"/><Relationship Id="rId47" Type="http://schemas.openxmlformats.org/officeDocument/2006/relationships/hyperlink" Target="https://www.booking.com/hotel/co/portobelo-guatape.es.html?label=metagha-link-LUCO-hotel-2302686_dev-desktop_los-1_bw-6_dow-Thursday_defdate-0_room-0_gstadt-2_rateid-public_aud-0_gacid-21415124842_mcid-10_ppa-0_clrid-0_ad-1_gstkid-0_checkin-20241128_ppt-_lp-2170_r-2332944182270452&amp;sid=1ceb258b5da5325b1f375fc1eb8f6953&amp;utm_source=metagha&amp;utm_medium=localuniversal&amp;utm_term=hotel-2302686&amp;utm_content=dev-desktop_los-1_bw-6_dow-Thursday_defdate-0_room-0_gstadt-2_rateid-public_aud-0_gacid-21415124842_mcid-10_ppa-0_clrid-0_ad-1_gstkid-0_checkin-20241128_ppt-&amp;utm_campaign=CO&amp;gclid=CjwKCAiA9IC6BhA3EiwAsbltOBeGOwgHcwmelmrHhK9QjZa_ptdl6m3EHBTyD0UjQMdNxTg0aIXIchoCEsEQAvD_BwE&amp;aid=356938&amp;ucfs=1&amp;arphpl=1&amp;checkin=2024-11-28&amp;checkout=2024-11-29&amp;dest_id=-585862&amp;dest_type=city&amp;group_adults=2&amp;req_adults=2&amp;no_rooms=1&amp;group_children=0&amp;req_children=0&amp;hpos=1&amp;hapos=1&amp;sr_order=popularity&amp;srpvid=c47b856e89b6047c&amp;srepoch=1732301940&amp;all_sr_blocks=230268610_403432295_2_0_0&amp;highlighted_blocks=230268610_403432295_2_0_0&amp;matching_block_id=230268610_403432295_2_0_0&amp;sr_pri_blocks=230268610_403432295_2_0_0__15000000&amp;from=searchresults" TargetMode="External"/><Relationship Id="rId63" Type="http://schemas.openxmlformats.org/officeDocument/2006/relationships/hyperlink" Target="https://www.booking.com/hotel/co/san-simon-glamping.es.html?aid=304142&amp;label=gen173nr-1FCAEoggI46AdIM1gEaDKIAQGYAQq4ARjIAQzYAQHoAQH4AQyIAgGoAgS4AtaL6LUGwAIB0gIkNjdiNjQ5ZmQtMzJlYy00NmE1LThhOGUtMmU0ZmUyYTgxZjIz2AIG4AIB&amp;sid=d0e7b2a1316f88f544ee0e1e96c3d09e&amp;all_sr_blocks=1064978102_378886255_2_0_0;checkin=2024-11-22;checkout=2024-11-23;dest_id=900058844;dest_type=city;dist=0;group_adults=2;group_children=0;hapos=22;highlighted_blocks=1064978102_378886255_2_0_0;hpos=22;matching_block_id=1064978102_378886255_2_0_0;nflt=hotelfacility%3D4%3Bhotelfacility%3D107%3Bpopular_activities%3D63%3Bht_id%3D220%3Bht_id%3D213;no_rooms=1;req_adults=2;req_children=0;room1=A%2CA;sb_price_type=total;sr_order=popularity;sr_pri_blocks=1064978102_378886255_2_0_0__26535600;srepoch=1723467604;srpvid=4deb5b36216c05f2;type=total;ucfs=1&amp;" TargetMode="External"/><Relationship Id="rId68" Type="http://schemas.openxmlformats.org/officeDocument/2006/relationships/hyperlink" Target="https://www.booking.com/hotel/co/gran.es.html?label=gran-X4YX6sTCDCs23IRITCP36AS175910999482%3Apl%3Ata%3Ap1%3Ap2%3Aac%3Aap%3Aneg%3Afi%3Atikwd-11613199358%3Alp20198%3Ali%3Adec%3Adm%3Appccp%3DUmFuZG9tSVYkc2RlIyh9YavywThF4buZaN3e9Rle2iM&amp;sid=93fa566f322f808be7ab10c4661acff5&amp;gclid=Cj0KCQiAqL28BhCrARIsACYJvkdKe8f01L6CQflBaSsFBpuUD99w92mvv7dYGWODvd_0nRgTn396fRYaAnn1EALw_wcB&amp;aid=311839&amp;ucfs=1&amp;arphpl=1&amp;checkin=2025-01-22&amp;checkout=2025-01-23&amp;dest_id=-594819&amp;dest_type=city&amp;group_adults=2&amp;req_adults=2&amp;no_rooms=1&amp;group_children=0&amp;req_children=0&amp;hpos=1&amp;hapos=1&amp;sr_order=popularity&amp;srpvid=ffac6b69819d028a&amp;srepoch=1737472174&amp;all_sr_blocks=28152902_90970939_2_41_0&amp;highlighted_blocks=28152902_90970939_2_41_0&amp;matching_block_id=28152902_90970939_2_41_0&amp;sr_pri_blocks=28152902_90970939_2_41_0__25215300&amp;from=searchresults" TargetMode="External"/><Relationship Id="rId2" Type="http://schemas.openxmlformats.org/officeDocument/2006/relationships/hyperlink" Target="https://www.booking.com/hotel/co/luxe-by-the-charle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3306648&amp;dest_type=hotel&amp;group_adults=2&amp;req_adults=2&amp;no_rooms=1&amp;group_children=0&amp;req_children=0&amp;hpos=1&amp;hapos=1&amp;sr_order=popularity&amp;srpvid=577c94a5323a0404&amp;srepoch=1731100111&amp;all_sr_blocks=330664806_115546006_2_1_0&amp;highlighted_blocks=330664806_115546006_2_1_0&amp;matching_block_id=330664806_115546006_2_1_0&amp;sr_pri_blocks=330664806_115546006_2_1_0__329947200&amp;from=searchresults" TargetMode="External"/><Relationship Id="rId16" Type="http://schemas.openxmlformats.org/officeDocument/2006/relationships/hyperlink" Target="https://www.booking.com/hotel/co/mansion-de-oriente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2291786&amp;dest_type=hotel&amp;group_adults=2&amp;req_adults=2&amp;no_rooms=1&amp;group_children=0&amp;req_children=0&amp;hpos=1&amp;hapos=1&amp;sr_order=popularity&amp;srpvid=e98295bc625605a6&amp;srepoch=1731100669&amp;all_sr_blocks=229178609_211969538_2_41_0&amp;highlighted_blocks=229178609_211969538_2_41_0&amp;matching_block_id=229178609_211969538_2_41_0&amp;sr_pri_blocks=229178609_211969538_2_41_0__244800000&amp;from=searchresults" TargetMode="External"/><Relationship Id="rId29" Type="http://schemas.openxmlformats.org/officeDocument/2006/relationships/hyperlink" Target="https://www.booking.com/hotel/co/jordan-boutique.es.html?label=New_English_EN_CO_26767227745-8Pi8nSYrBsC68_fucp60dwS634117823889%3Apl%3Ata%3Ap1%3Ap2%3Aac%3Aap%3Aneg%3Afi%3Atidsa-162435870265%3Alp20198%3Ali%3Adec%3Adm%3Aag26767227745%3Acmp394643665&amp;sid=1ceb258b5da5325b1f375fc1eb8f6953&amp;gclid=CjwKCAiA3Na5BhAZEiwAzrfagI8-YZht0rCE2Bt4-1sV3bay04cjXk2siB9oTMubmoaJ5AgZC3PCeBoC63sQAvD_BwE&amp;aid=318615&amp;ucfs=1&amp;arphpl=1&amp;checkin=2024-11-14&amp;checkout=2024-11-15&amp;dest_id=-585862&amp;dest_type=city&amp;group_adults=2&amp;req_adults=2&amp;no_rooms=1&amp;group_children=0&amp;req_children=0&amp;hpos=1&amp;hapos=1&amp;sr_order=popularity&amp;srpvid=229b5e2180ec0edf&amp;srepoch=1731590644&amp;all_sr_blocks=768066507_395595658_2_1_0&amp;highlighted_blocks=768066507_395595658_2_1_0&amp;matching_block_id=768066507_395595658_2_1_0&amp;sr_pri_blocks=768066507_395595658_2_1_0__27907200&amp;from_sustainable_property_sr=1&amp;from=searchresults" TargetMode="External"/><Relationship Id="rId11" Type="http://schemas.openxmlformats.org/officeDocument/2006/relationships/hyperlink" Target="https://www.booking.com/hotel/co/bethel-lozana-guatape.es.html?label=gen173nr-1FCAEoggI46AdIM1gEaDKIAQGYAQq4ARfIARXYAQHoAQH4AQOIAgGoAgO4Auv6ubkGwAIB0gIkNDIxYWRlNzgtZGMxNy00ZTRiLWI1OTctZWE2NjQ2MGNiNGE52AIG4AIB&amp;aid=304142&amp;ucfs=1&amp;arphpl=1&amp;checkin=2024-11-22&amp;checkout=2024-11-30&amp;dest_id=9219716&amp;dest_type=hotel&amp;group_adults=2&amp;req_adults=2&amp;no_rooms=1&amp;group_children=0&amp;req_children=0&amp;hpos=1&amp;hapos=1&amp;sr_order=popularity&amp;srpvid=4817953215180229&amp;srepoch=1731100393&amp;soh=1&amp;from_sustainable_property_sr=1&amp;from=searchresults" TargetMode="External"/><Relationship Id="rId24" Type="http://schemas.openxmlformats.org/officeDocument/2006/relationships/hyperlink" Target="https://www.booking.com/hotel/co/refugio-jg-mariquit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2110708&amp;dest_type=hotel&amp;group_adults=2&amp;req_adults=2&amp;no_rooms=1&amp;group_children=0&amp;req_children=0&amp;hpos=1&amp;hapos=1&amp;sr_order=popularity&amp;srpvid=f460969d6d6f0299&amp;srepoch=1731101118&amp;all_sr_blocks=211070801_357838345_0_9_0&amp;highlighted_blocks=211070801_357838345_0_9_0&amp;matching_block_id=211070801_357838345_0_9_0&amp;sr_pri_blocks=211070801_357838345_0_9_0__176000000&amp;from=searchresults" TargetMode="External"/><Relationship Id="rId32" Type="http://schemas.openxmlformats.org/officeDocument/2006/relationships/hyperlink" Target="https://www.booking.com/hotel/co/cannu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4220225&amp;dest_type=hotel&amp;group_adults=2&amp;req_adults=2&amp;no_rooms=1&amp;group_children=0&amp;req_children=0&amp;hpos=1&amp;hapos=1&amp;sr_order=popularity&amp;srpvid=a0719643630d0afc&amp;srepoch=1731100939&amp;all_sr_blocks=422022501_128088096_2_1_0&amp;highlighted_blocks=422022501_128088096_2_1_0&amp;matching_block_id=422022501_128088096_2_1_0&amp;sr_pri_blocks=422022501_128088096_2_1_0__555989111&amp;from_sustainable_property_sr=1&amp;from=searchresults" TargetMode="External"/><Relationship Id="rId37" Type="http://schemas.openxmlformats.org/officeDocument/2006/relationships/hyperlink" Target="https://www.booking.com/hotel/co/cabanas-navegar.es.html?aid=304142&amp;label=gen173nr-1FCAEoggI46AdIM1gEaDKIAQGYAQq4ARjIAQzYAQHoAQH4AQyIAgGoAgS4AtaL6LUGwAIB0gIkNjdiNjQ5ZmQtMzJlYy00NmE1LThhOGUtMmU0ZmUyYTgxZjIz2AIG4AIB&amp;sid=d0e7b2a1316f88f544ee0e1e96c3d09e&amp;all_sr_blocks=953678211_384057531_5_0_0;checkin=2024-09-06;checkout=2024-09-07;dest_id=9536782;dest_type=hotel;dist=0;group_adults=2;group_children=0;hapos=1;highlighted_blocks=953678211_384057531_5_0_0;hpos=1;matching_block_id=953678211_384057531_5_0_0;no_rooms=1;req_adults=2;req_children=0;room1=A%2CA;sb_price_type=total;sr_order=popularity;sr_pri_blocks=953678211_384057531_5_0_0__28188000;srepoch=1723469281;srpvid=fa945eaef1e90025;type=total;ucfs=1&amp;" TargetMode="External"/><Relationship Id="rId40" Type="http://schemas.openxmlformats.org/officeDocument/2006/relationships/hyperlink" Target="https://www.booking.com/hotel/co/suite-gold-rocks-glamping.es.html?aid=304142&amp;label=gen173nr-1FCAEoggI46AdIM1gEaDKIAQGYAQq4ARjIAQzYAQHoAQH4AQyIAgGoAgS4AtaL6LUGwAIB0gIkNjdiNjQ5ZmQtMzJlYy00NmE1LThhOGUtMmU0ZmUyYTgxZjIz2AIG4AIB&amp;sid=d0e7b2a1316f88f544ee0e1e96c3d09e&amp;all_sr_blocks=1175900602_390126003_2_41_0;checkin=2024-11-22;checkout=2024-11-23;dest_id=900058844;dest_type=city;dist=0;group_adults=2;group_children=0;hapos=2;highlighted_blocks=1175900602_390126003_2_41_0;hpos=2;matching_block_id=1175900602_390126003_2_41_0;no_rooms=1;req_adults=2;req_children=0;room1=A%2CA;sb_price_type=total;sr_order=popularity;sr_pri_blocks=1175900602_390126003_2_41_0__19491840;srepoch=1723468321;srpvid=c22d5cbe60ff03bf;type=total;ucfs=1&amp;" TargetMode="External"/><Relationship Id="rId45" Type="http://schemas.openxmlformats.org/officeDocument/2006/relationships/hyperlink" Target="https://www.booking.com/hotel/co/glmping-5-elementos-el-penol-a-30-minutos-de-guatape.es.html?label=gog235jc-1DCAsoMkI0Z2xtcGluZy01LWVsZW1lbnRvcy1lbC1wZW5vbC1hLTMwLW1pbnV0b3MtZGUtZ3VhdGFwZUgKWANoMogBAZgBCrgBGMgBDNgBA-gBAfgBAogCAagCBLgC5PLXuQbAAgHSAiQzNmRlOWZlNy00MmY0LTQ0OWUtOWY0My03NTEwZjEzNTBjYzXYAgTgAgE&amp;sid=1ceb258b5da5325b1f375fc1eb8f6953&amp;aid=356980&amp;ucfs=1&amp;arphpl=1&amp;checkin=2024-11-14&amp;checkout=2024-11-15&amp;dest_id=900058844&amp;dest_type=city&amp;group_adults=2&amp;req_adults=2&amp;no_rooms=1&amp;group_children=0&amp;req_children=0&amp;hpos=1&amp;hapos=1&amp;sr_order=popularity&amp;srpvid=1e6f5df2a94607cc&amp;srepoch=1731590552&amp;all_sr_blocks=1261771001_401045264_2_1_0_637070&amp;highlighted_blocks=1261771001_401045264_2_1_0_637070&amp;matching_block_id=1261771001_401045264_2_1_0_637070&amp;sr_pri_blocks=1261771001_401045264_2_1_0_637070_30800000&amp;from_sustainable_property_sr=1&amp;from=searchresults" TargetMode="External"/><Relationship Id="rId53" Type="http://schemas.openxmlformats.org/officeDocument/2006/relationships/hyperlink" Target="https://www.booking.com/hotel/co/bramasole-boutique-el-penol-bogota.es.html?label=bin859jc-1DCAsoMkIiYnJhbWFzb2xlLWJvdXRpcXVlLWVsLXBlbm9sLWJvZ290YUgKWANoMogBAZgBCrgBGMgBDNgBA-gBAfgBA4gCAagCBLgC6q2DugbAAgHSAiRhZjNhYjYzNS01ODQyLTQ2MmMtOWU0Zi03NDFmOWFjNjFlZmHYAgTgAgE&amp;sid=d0e7b2a1316f88f544ee0e1e96c3d09e&amp;aid=357028&amp;ucfs=1&amp;arphpl=1&amp;checkin=2024-11-28&amp;checkout=2024-11-29&amp;dest_id=900058844&amp;dest_type=city&amp;group_adults=2&amp;req_adults=2&amp;no_rooms=1&amp;group_children=0&amp;req_children=0&amp;hpos=1&amp;hapos=1&amp;sr_order=popularity&amp;srpvid=2b2286b696960187&amp;srepoch=1732302596&amp;all_sr_blocks=1159062803_394849625_2_0_0&amp;highlighted_blocks=1159062803_394849625_2_0_0&amp;matching_block_id=1159062803_394849625_2_0_0&amp;sr_pri_blocks=1159062803_394849625_2_0_0__17100000&amp;from_sustainable_property_sr=1&amp;from=searchresults" TargetMode="External"/><Relationship Id="rId58" Type="http://schemas.openxmlformats.org/officeDocument/2006/relationships/hyperlink" Target="https://www.booking.com/hotel/co/mansion-de-oriente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2291786&amp;dest_type=hotel&amp;group_adults=2&amp;req_adults=2&amp;no_rooms=1&amp;group_children=0&amp;req_children=0&amp;hpos=1&amp;hapos=1&amp;sr_order=popularity&amp;srpvid=e98295bc625605a6&amp;srepoch=1731100669&amp;all_sr_blocks=229178609_211969538_2_41_0&amp;highlighted_blocks=229178609_211969538_2_41_0&amp;matching_block_id=229178609_211969538_2_41_0&amp;sr_pri_blocks=229178609_211969538_2_41_0__244800000&amp;from=searchresults" TargetMode="External"/><Relationship Id="rId66" Type="http://schemas.openxmlformats.org/officeDocument/2006/relationships/hyperlink" Target="https://www.booking.com/hotel/co/zi-one-luxury.es.html?label=zi-one-luxury-oNsdptaPsADFCtBBnQ596AS161719027587%3Apl%3Ata%3Ap1%3Ap2%3Aac%3Aap%3Aneg%3Afi%3Atikwd-483575388886%3Alp20198%3Ali%3Adec%3Adm%3Appccp%3DUmFuZG9tSVYkc2RlIyh9YavywThF4buZaN3e9Rle2iM&amp;sid=93fa566f322f808be7ab10c4661acff5&amp;gclid=Cj0KCQiAqL28BhCrARIsACYJvkdkT68TJwpyGwoZ-Is7xODNdTPaPWopchtnwen0IvzvZwLE_-g1zvYaAiNyEALw_wcB&amp;aid=311839&amp;ucfs=1&amp;arphpl=1&amp;checkin=2025-01-22&amp;checkout=2025-01-23&amp;dest_id=-594819&amp;dest_type=city&amp;group_adults=2&amp;req_adults=2&amp;no_rooms=1&amp;group_children=0&amp;req_children=0&amp;hpos=1&amp;hapos=1&amp;sr_order=popularity&amp;srpvid=ab306b1e86530159&amp;srepoch=1737472047&amp;soh=1&amp;from=searchresults" TargetMode="External"/><Relationship Id="rId74" Type="http://schemas.openxmlformats.org/officeDocument/2006/relationships/table" Target="../tables/table2.xml"/><Relationship Id="rId5" Type="http://schemas.openxmlformats.org/officeDocument/2006/relationships/hyperlink" Target="https://www.booking.com/hotel/co/ibuku-guatap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8666201&amp;dest_type=hotel&amp;group_adults=2&amp;req_adults=2&amp;no_rooms=1&amp;group_children=0&amp;req_children=0&amp;hpos=1&amp;hapos=1&amp;sr_order=popularity&amp;srpvid=725b94cfc2a101e9&amp;srepoch=1731100194&amp;all_sr_blocks=866620108_388715139_3_41_0&amp;highlighted_blocks=866620108_388715139_3_41_0&amp;matching_block_id=866620108_388715139_3_41_0&amp;sr_pri_blocks=866620108_388715139_3_41_0__353971053&amp;from_sustainable_property_sr=1&amp;from=searchresults" TargetMode="External"/><Relationship Id="rId61" Type="http://schemas.openxmlformats.org/officeDocument/2006/relationships/hyperlink" Target="https://www.booking.com/hotel/co/cabanas-navegar.es-mx.html?label=Spanish_Colombia_ES_CO_20153959105-JvWA_BiunE_YalmU9PDZ_QS640874832178%3Apl%3Ata%3Ap1%3Ap2%3Aac%3Aap%3Aneg%3Afi%3Atidsa-162435870265%3Alp20198%3Ali%3Adec%3Adm%3Aag20153959105%3Acmp313803625&amp;sid=1ceb258b5da5325b1f375fc1eb8f6953&amp;aid=318615&amp;ucfs=1&amp;arphpl=1&amp;checkin=2025-01-16&amp;checkout=2025-01-17&amp;dest_id=-585862&amp;dest_type=city&amp;group_adults=2&amp;req_adults=2&amp;no_rooms=1&amp;group_children=1&amp;req_children=1&amp;age=1&amp;req_age=1&amp;hpos=1&amp;hapos=1&amp;sr_order=popularity&amp;srpvid=93d05827e77d073c&amp;srepoch=1734611241&amp;all_sr_blocks=953678210_384057531_5_0_0&amp;highlighted_blocks=953678210_384057531_5_0_0&amp;matching_block_id=953678210_384057531_5_0_0&amp;sr_pri_blocks=953678210_384057531_5_0_0__31900000&amp;from=searchresults" TargetMode="External"/><Relationship Id="rId19" Type="http://schemas.openxmlformats.org/officeDocument/2006/relationships/hyperlink" Target="https://www.booking.com/hotel/co/las-lomas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312034&amp;dest_type=hotel&amp;group_adults=2&amp;req_adults=2&amp;no_rooms=1&amp;group_children=0&amp;req_children=0&amp;hpos=1&amp;hapos=1&amp;sr_order=popularity&amp;srpvid=14f8960a8e2d08cd&amp;srepoch=1731100824&amp;soh=1&amp;from_sustainable_property_sr=1&amp;from=searchresults" TargetMode="External"/><Relationship Id="rId14" Type="http://schemas.openxmlformats.org/officeDocument/2006/relationships/hyperlink" Target="https://www.booking.com/hotel/co/tau-hous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8258154&amp;dest_type=hotel&amp;group_adults=2&amp;req_adults=2&amp;no_rooms=1&amp;group_children=0&amp;req_children=0&amp;hpos=1&amp;hapos=1&amp;sr_order=popularity&amp;srpvid=b32a94b138660740&amp;srepoch=1731100143&amp;all_sr_blocks=825815404_347032334_2_1_0&amp;highlighted_blocks=825815404_347032334_2_1_0&amp;matching_block_id=825815404_347032334_2_1_0&amp;sr_pri_blocks=825815404_347032334_2_1_0__625117500&amp;from_sustainable_property_sr=1&amp;from=searchresults" TargetMode="External"/><Relationship Id="rId22" Type="http://schemas.openxmlformats.org/officeDocument/2006/relationships/hyperlink" Target="https://www.booking.com/hotel/co/casa-de-amigos-boutique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8373784&amp;dest_type=hotel&amp;group_adults=2&amp;req_adults=2&amp;no_rooms=1&amp;group_children=0&amp;req_children=0&amp;hpos=1&amp;hapos=1&amp;sr_order=popularity&amp;srpvid=168b965db526019b&amp;srepoch=1731100994&amp;all_sr_blocks=837378402_401335015_0_1_0&amp;highlighted_blocks=837378402_401335015_0_1_0&amp;matching_block_id=837378402_401335015_0_1_0&amp;sr_pri_blocks=837378402_401335015_0_1_0__390700800&amp;from_sustainable_property_sr=1&amp;from=searchresults" TargetMode="External"/><Relationship Id="rId27" Type="http://schemas.openxmlformats.org/officeDocument/2006/relationships/hyperlink" Target="https://www.booking.com/hotel/co/levit-guatap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3167955&amp;dest_type=hotel&amp;group_adults=2&amp;req_adults=2&amp;no_rooms=1&amp;group_children=0&amp;req_children=0&amp;hpos=1&amp;hapos=1&amp;sr_order=popularity&amp;srpvid=525294f44ce60f4a&amp;srepoch=1731100269&amp;soh=1&amp;from_sustainable_property_sr=1&amp;from=searchresults" TargetMode="External"/><Relationship Id="rId30" Type="http://schemas.openxmlformats.org/officeDocument/2006/relationships/hyperlink" Target="https://www.booking.com/hotel/co/pietrasanta.es.html?label=gog235jc-1DCAsoMkILcGlldHJhc2FudGFIClgDaDKIAQGYAQq4ARjIAQzYAQPoAQH4AQKIAgGoAgS4Aor017kGwAIB0gIkMzU3YmMyYjgtNDM0Zi00ODQ2LWJkNjQtZTg5MTE0NDJmNTgy2AIE4AIB&amp;sid=1ceb258b5da5325b1f375fc1eb8f6953&amp;aid=356980&amp;ucfs=1&amp;arphpl=1&amp;checkin=2024-11-14&amp;checkout=2024-11-15&amp;dest_id=-585862&amp;dest_type=city&amp;group_adults=2&amp;req_adults=2&amp;no_rooms=1&amp;group_children=0&amp;req_children=0&amp;hpos=1&amp;hapos=1&amp;sr_order=popularity&amp;srpvid=d7cd5e4579d8027e&amp;srepoch=1731590721&amp;all_sr_blocks=66806509_335395889_2_41_0&amp;highlighted_blocks=66806509_335395889_2_41_0&amp;matching_block_id=66806509_335395889_2_41_0&amp;sr_pri_blocks=66806509_335395889_2_41_0__78300000&amp;from=searchresults" TargetMode="External"/><Relationship Id="rId35" Type="http://schemas.openxmlformats.org/officeDocument/2006/relationships/hyperlink" Target="https://www.booking.com/hotel/co/bambu-guatape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8871595&amp;dest_type=hotel&amp;group_adults=2&amp;req_adults=2&amp;no_rooms=1&amp;group_children=0&amp;req_children=0&amp;hpos=1&amp;hapos=1&amp;sr_order=popularity&amp;srpvid=f3a395e09eb1055d&amp;srepoch=1731100740&amp;all_sr_blocks=887159510_377697257_2_2_0&amp;highlighted_blocks=887159510_377697257_2_2_0&amp;matching_block_id=887159510_377697257_2_2_0&amp;sr_pri_blocks=887159510_377697257_2_2_0__80514720&amp;from_sustainable_property_sr=1&amp;from=searchresults" TargetMode="External"/><Relationship Id="rId43" Type="http://schemas.openxmlformats.org/officeDocument/2006/relationships/hyperlink" Target="https://www.booking.com/hotel/co/f3-cabanas-con-represa-y-glamping-penol-y-guatape.es.html?aid=304142&amp;label=gen173nr-1FCAEoggI46AdIM1gEaDKIAQGYAQq4ARjIAQzYAQHoAQH4AQyIAgGoAgS4AtaL6LUGwAIB0gIkNjdiNjQ5ZmQtMzJlYy00NmE1LThhOGUtMmU0ZmUyYTgxZjIz2AIG4AIB&amp;sid=d0e7b2a1316f88f544ee0e1e96c3d09e&amp;all_sr_blocks=1067150801_379114127_2_2_0;checkin=2024-09-06;checkout=2024-09-07;dest_id=900058844;dest_type=city;dist=0;group_adults=2;group_children=0;hapos=6;highlighted_blocks=1067150801_379114127_2_2_0;hpos=6;matching_block_id=1067150801_379114127_2_2_0;nflt=roomfacility%3D81%3Broomfacility%3D17%3Broomfacility%3D20%3Broomfacility%3D999;no_rooms=1;req_adults=2;req_children=0;room1=A%2CA;sb_price_type=total;sr_order=popularity;sr_pri_blocks=1067150801_379114127_2_2_0__31500000;srepoch=1723469099;srpvid=52525bcd774e0055;type=total;ucfs=1&amp;" TargetMode="External"/><Relationship Id="rId48" Type="http://schemas.openxmlformats.org/officeDocument/2006/relationships/hyperlink" Target="https://www.booking.com/hotel/co/brisas-de-guatape-guatape4.es.html?label=metagha-link-LUCO-hotel-2302686_dev-desktop_los-1_bw-6_dow-Thursday_defdate-0_room-0_gstadt-2_rateid-public_aud-0_gacid-21415124842_mcid-10_ppa-0_clrid-0_ad-1_gstkid-0_checkin-20241128_ppt-_lp-2170_r-2332944182270452&amp;sid=1ceb258b5da5325b1f375fc1eb8f6953&amp;aid=356938&amp;ucfs=1&amp;arphpl=1&amp;checkin=2024-11-28&amp;checkout=2024-11-29&amp;dest_id=13060975&amp;dest_type=hotel&amp;group_adults=2&amp;req_adults=2&amp;no_rooms=1&amp;group_children=0&amp;req_children=0&amp;hpos=1&amp;hapos=1&amp;sr_order=popularity&amp;srpvid=1a8185909337041d&amp;srepoch=1732302008&amp;all_sr_blocks=1306097503_403444141_0_1_0&amp;highlighted_blocks=1306097503_403444141_0_1_0&amp;matching_block_id=1306097503_403444141_0_1_0&amp;sr_pri_blocks=1306097503_403444141_0_1_0__10800000&amp;from=searchresults" TargetMode="External"/><Relationship Id="rId56" Type="http://schemas.openxmlformats.org/officeDocument/2006/relationships/hyperlink" Target="https://www.booking.com/hotel/co/rooca-guatape.es.html?label=gog235jc-1DCAsoMkINcm9vY2EtZ3VhdGFwZUgKWANoMogBAZgBCrgBGMgBDNgBA-gBAfgBAogCAagCBLgC7KGXugbAAgHSAiRjZjBjZmJiNS04NTU3LTQxM2EtOWY2My0xN2E1MTc0NTE0ZjjYAgTgAgE&amp;sid=1ceb258b5da5325b1f375fc1eb8f6953&amp;aid=356980&amp;ucfs=1&amp;arphpl=1&amp;checkin=2024-12-14&amp;checkout=2024-12-15&amp;dest_id=-585862&amp;dest_type=city&amp;group_adults=2&amp;req_adults=2&amp;no_rooms=1&amp;group_children=0&amp;req_children=0&amp;hpos=1&amp;hapos=1&amp;sr_order=popularity&amp;srpvid=1ada60b64fc50ac7&amp;srepoch=1732628768&amp;all_sr_blocks=1256101304_404221846_2_1_0&amp;highlighted_blocks=1256101304_404221846_2_1_0&amp;matching_block_id=1256101304_404221846_2_1_0&amp;sr_pri_blocks=1256101304_404221846_2_1_0__40500000&amp;from=searchresults" TargetMode="External"/><Relationship Id="rId64" Type="http://schemas.openxmlformats.org/officeDocument/2006/relationships/hyperlink" Target="https://www.booking.com/hotel/co/the-boato-el-penol1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6718999&amp;dest_type=hotel&amp;group_adults=2&amp;req_adults=2&amp;no_rooms=1&amp;group_children=0&amp;req_children=0&amp;hpos=1&amp;hapos=1&amp;sr_order=popularity&amp;srpvid=d59694989193006b&amp;srepoch=1731100085&amp;soh=1&amp;from_sustainable_property_sr=1&amp;from=searchresults" TargetMode="External"/><Relationship Id="rId69" Type="http://schemas.openxmlformats.org/officeDocument/2006/relationships/hyperlink" Target="https://www.booking.com/hotel/co/abadia-plaza.es.html?label=abadia-plaza-mjGwQUTG8irIY4AXU8XqvwS388433469787%3Apl%3Ata%3Ap1%3Ap2%3Aac%3Aap%3Aneg%3Afi%3Atikwd-395006989431%3Alp20198%3Ali%3Adec%3Adm%3Appccp%3DUmFuZG9tSVYkc2RlIyh9YavywThF4buZaN3e9Rle2iM&amp;sid=93fa566f322f808be7ab10c4661acff5&amp;gclid=Cj0KCQiAqL28BhCrARIsACYJvkeMPjsafT0SPltD-m3XuDLlSEQ0Rx732-PRvpp8y793gxDVk7ar-pEaAnPoEALw_wcB&amp;aid=311839&amp;ucfs=1&amp;arphpl=1&amp;checkin=2025-01-22&amp;checkout=2025-01-23&amp;dest_id=-594819&amp;dest_type=city&amp;group_adults=2&amp;req_adults=2&amp;no_rooms=1&amp;group_children=0&amp;req_children=0&amp;hpos=1&amp;hapos=1&amp;sr_order=popularity&amp;srpvid=4a346b85cd4f0252&amp;srepoch=1737472231&amp;all_sr_blocks=31076201_200143261_0_1_0_537544&amp;highlighted_blocks=31076201_200143261_0_1_0_537544&amp;matching_block_id=31076201_200143261_0_1_0_537544&amp;sr_pri_blocks=31076201_200143261_0_1_0_537544_29900000&amp;from=searchresults" TargetMode="External"/><Relationship Id="rId8" Type="http://schemas.openxmlformats.org/officeDocument/2006/relationships/hyperlink" Target="https://www.booking.com/hotel/co/levit-guatap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3167955&amp;dest_type=hotel&amp;group_adults=2&amp;req_adults=2&amp;no_rooms=1&amp;group_children=0&amp;req_children=0&amp;hpos=1&amp;hapos=1&amp;sr_order=popularity&amp;srpvid=525294f44ce60f4a&amp;srepoch=1731100269&amp;soh=1&amp;from_sustainable_property_sr=1&amp;from=searchresults" TargetMode="External"/><Relationship Id="rId51" Type="http://schemas.openxmlformats.org/officeDocument/2006/relationships/hyperlink" Target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TargetMode="External"/><Relationship Id="rId72" Type="http://schemas.openxmlformats.org/officeDocument/2006/relationships/hyperlink" Target="https://www.booking.com/hotel/co/real-guatape.es.html?label=gog235jc-1DCAsoMkIaYnJpc2FzLWRlLWd1YXRhcGUtZ3VhdGFwZTNIClgDaDKIAQGYAQq4ARjIAQzYAQPoAQH4AQKIAgGoAgS4Aq3_zL0GwAIB0gIkMjEwMDkwOWEtOWQ3NC00MWEyLThiNWUtNDM0MDcxZTU1ZDVk2AIE4AIB&amp;sid=93fa566f322f808be7ab10c4661acff5&amp;aid=356980&amp;ucfs=1&amp;arphpl=1&amp;checkin=2025-02-17&amp;checkout=2025-02-18&amp;dest_id=-585862&amp;dest_type=city&amp;group_adults=2&amp;req_adults=2&amp;no_rooms=1&amp;group_children=0&amp;req_children=0&amp;hpos=5&amp;hapos=5&amp;sr_order=popularity&amp;srpvid=6c4561d79bd9015a&amp;srepoch=1739800500&amp;all_sr_blocks=252263301_388495230_2_0_0&amp;highlighted_blocks=252263301_388495230_2_0_0&amp;matching_block_id=252263301_388495230_2_0_0&amp;sr_pri_blocks=252263301_388495230_2_0_0__6535920&amp;from=searchresults" TargetMode="External"/><Relationship Id="rId3" Type="http://schemas.openxmlformats.org/officeDocument/2006/relationships/hyperlink" Target="https://www.booking.com/hotel/co/tau-hous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8258154&amp;dest_type=hotel&amp;group_adults=2&amp;req_adults=2&amp;no_rooms=1&amp;group_children=0&amp;req_children=0&amp;hpos=1&amp;hapos=1&amp;sr_order=popularity&amp;srpvid=b32a94b138660740&amp;srepoch=1731100143&amp;all_sr_blocks=825815404_347032334_2_1_0&amp;highlighted_blocks=825815404_347032334_2_1_0&amp;matching_block_id=825815404_347032334_2_1_0&amp;sr_pri_blocks=825815404_347032334_2_1_0__625117500&amp;from_sustainable_property_sr=1&amp;from=searchresults" TargetMode="External"/><Relationship Id="rId12" Type="http://schemas.openxmlformats.org/officeDocument/2006/relationships/hyperlink" Target="https://www.booking.com/hotel/co/arvum-boutique.es.html?label=gen173nr-1FCAEoggI46AdIM1gEaDKIAQGYAQq4ARfIARXYAQHoAQH4AQOIAgGoAgO4Auv6ubkGwAIB0gIkNDIxYWRlNzgtZGMxNy00ZTRiLWI1OTctZWE2NjQ2MGNiNGE52AIG4AIB&amp;aid=304142&amp;ucfs=1&amp;arphpl=1&amp;checkin=2024-11-22&amp;checkout=2024-11-30&amp;dest_id=9108472&amp;dest_type=hotel&amp;group_adults=2&amp;req_adults=2&amp;no_rooms=1&amp;group_children=0&amp;req_children=0&amp;hpos=1&amp;hapos=1&amp;sr_order=popularity&amp;srpvid=c9c2957d3a9f0ab7&amp;srepoch=1731100543&amp;all_sr_blocks=910847208_403437473_2_1_0&amp;highlighted_blocks=910847208_403437473_2_1_0&amp;matching_block_id=910847208_403437473_2_1_0&amp;sr_pri_blocks=910847208_403437473_2_1_0__363951706&amp;from_sustainable_property_sr=1&amp;from=searchresults" TargetMode="External"/><Relationship Id="rId17" Type="http://schemas.openxmlformats.org/officeDocument/2006/relationships/hyperlink" Target="https://www.booking.com/hotel/co/bambu-guatape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8871595&amp;dest_type=hotel&amp;group_adults=2&amp;req_adults=2&amp;no_rooms=1&amp;group_children=0&amp;req_children=0&amp;hpos=1&amp;hapos=1&amp;sr_order=popularity&amp;srpvid=f3a395e09eb1055d&amp;srepoch=1731100740&amp;all_sr_blocks=887159510_377697257_2_2_0&amp;highlighted_blocks=887159510_377697257_2_2_0&amp;matching_block_id=887159510_377697257_2_2_0&amp;sr_pri_blocks=887159510_377697257_2_2_0__80514720&amp;from_sustainable_property_sr=1&amp;from=searchresults" TargetMode="External"/><Relationship Id="rId25" Type="http://schemas.openxmlformats.org/officeDocument/2006/relationships/hyperlink" Target="https://www.booking.com/hotel/co/eco-glamping-shalom-mariquit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7185859&amp;dest_type=hotel&amp;group_adults=2&amp;req_adults=2&amp;no_rooms=1&amp;group_children=0&amp;req_children=0&amp;hpos=1&amp;hapos=1&amp;sr_order=popularity&amp;srpvid=525296b97cdf009a&amp;srepoch=1731101175&amp;all_sr_blocks=718585904_355958777_2_41_0&amp;highlighted_blocks=718585904_355958777_2_41_0&amp;matching_block_id=718585904_355958777_2_41_0&amp;sr_pri_blocks=718585904_355958777_2_41_0__446400000&amp;from_sustainable_property_sr=1&amp;from=searchresults" TargetMode="External"/><Relationship Id="rId33" Type="http://schemas.openxmlformats.org/officeDocument/2006/relationships/hyperlink" Target="https://www.booking.com/hotel/co/glamping-the-mountain.es.html?label=gen173nr-1BCAEoggI46AdIM1gEaDKIAQGYAQq4ARfIARXYAQHoAQGIAgGoAgO4Auv6ubkGwAIB0gIkNDIxYWRlNzgtZGMxNy00ZTRiLWI1OTctZWE2NjQ2MGNiNGE52AIF4AIB&amp;sid=4b0d2a11a7f716ea1fbbcbbef9dba78d&amp;aid=304142&amp;ucfs=1&amp;arphpl=1&amp;checkin=2024-11-22&amp;checkout=2024-11-30&amp;dest_id=8570511&amp;dest_type=hotel&amp;group_adults=2&amp;req_adults=2&amp;no_rooms=1&amp;group_children=0&amp;req_children=0&amp;hpos=1&amp;hapos=1&amp;sr_order=popularity&amp;srpvid=bd40951557cc0237&amp;srepoch=1731100334&amp;all_sr_blocks=857051102_373211362_0_1_0&amp;highlighted_blocks=857051102_373211362_0_1_0&amp;matching_block_id=857051102_373211362_0_1_0&amp;sr_pri_blocks=857051102_373211362_0_1_0__388800000&amp;from_sustainable_property_sr=1&amp;from=searchresults" TargetMode="External"/><Relationship Id="rId38" Type="http://schemas.openxmlformats.org/officeDocument/2006/relationships/hyperlink" Target="https://www.booking.com/hotel/co/magic-view-el-penol-guatape.es.html?aid=304142&amp;label=gen173nr-1FCAEoggI46AdIM1gEaDKIAQGYAQq4ARjIAQzYAQHoAQH4AQyIAgGoAgS4AtaL6LUGwAIB0gIkNjdiNjQ5ZmQtMzJlYy00NmE1LThhOGUtMmU0ZmUyYTgxZjIz2AIG4AIB&amp;sid=d0e7b2a1316f88f544ee0e1e96c3d09e&amp;all_sr_blocks=1199563302_392231925_0_1_0;checkin=2024-09-06;checkout=2024-09-07;dest_id=11995633;dest_type=hotel;dist=0;group_adults=2;group_children=0;hapos=1;highlighted_blocks=1199563302_392231925_0_1_0;hpos=1;matching_block_id=1199563302_392231925_0_1_0;no_rooms=1;req_adults=2;req_children=0;room1=A%2CA;sb_price_type=total;sr_order=popularity;sr_pri_blocks=1199563302_392231925_0_1_0__61600000;srepoch=1723469339;srpvid=49145ecc63d10254;type=total;ucfs=1&amp;" TargetMode="External"/><Relationship Id="rId46" Type="http://schemas.openxmlformats.org/officeDocument/2006/relationships/hyperlink" Target="https://www.booking.com/hotel/co/espectacular-cabana-loft-en-guatape-jacuzzi.es.html?label=gog235jc-1DCAsoMkIrZXNwZWN0YWN1bGFyLWNhYmFuYS1sb2Z0LWVuLWd1YXRhcGUtamFjdXp6aUgKWANoMogBAZgBCrgBGMgBDNgBA-gBAfgBAogCAagCBLgCs9uCugbAAgHSAiQyMzdiYjk2Ni03YmViLTQzY2ItYWY1OS02OTY1Mjk2MWRkM2HYAgTgAgE&amp;sid=1ceb258b5da5325b1f375fc1eb8f6953&amp;aid=356980&amp;ucfs=1&amp;arphpl=1&amp;checkin=2024-11-28&amp;checkout=2024-11-29&amp;dest_id=900058844&amp;dest_type=city&amp;group_adults=2&amp;req_adults=2&amp;no_rooms=1&amp;group_children=0&amp;req_children=0&amp;hpos=1&amp;hapos=1&amp;sr_order=popularity&amp;srpvid=9a3a721a345805b6&amp;srepoch=1732292048&amp;all_sr_blocks=1026227301_375368796_7_0_0&amp;highlighted_blocks=1026227301_375368796_7_0_0&amp;matching_block_id=1026227301_375368796_7_0_0&amp;sr_pri_blocks=1026227301_375368796_7_0_0__387000000&amp;from=searchresults" TargetMode="External"/><Relationship Id="rId59" Type="http://schemas.openxmlformats.org/officeDocument/2006/relationships/hyperlink" Target="https://www.booking.com/hotel/co/1714-boutique.es.html?label=New_English_EN_CO_26767227745-8Pi8nSYrBsC68_fucp60dwS634117823889%3Apl%3Ata%3Ap1%3Ap2%3Aac%3Aap%3Aneg%3Afi%3Atidsa-162435870265%3Alp20198%3Ali%3Adec%3Adm%3Aag26767227745%3Acmp394643665&amp;sid=1ceb258b5da5325b1f375fc1eb8f6953&amp;gclid=Cj0KCQiAgJa6BhCOARIsAMiL7V938QifTpL531d80AKT_T-9HsBthCu7uAyEQ9BtykZl6HqPq-AT3pwaAnC0EALw_wcB&amp;aid=318615&amp;ucfs=1&amp;arphpl=1&amp;checkin=2024-12-14&amp;checkout=2024-12-15&amp;dest_id=-585862&amp;dest_type=city&amp;group_adults=2&amp;req_adults=2&amp;no_rooms=1&amp;group_children=0&amp;req_children=0&amp;hpos=1&amp;hapos=1&amp;sr_order=popularity&amp;srpvid=577c60e85ecb0a82&amp;srepoch=1732628837&amp;all_sr_blocks=1038996506_388715163_2_1_0&amp;highlighted_blocks=1038996506_388715163_2_1_0&amp;matching_block_id=1038996506_388715163_2_1_0&amp;sr_pri_blocks=1038996506_388715163_2_1_0__42840000&amp;from_sustainable_property_sr=1&amp;from=searchresults" TargetMode="External"/><Relationship Id="rId67" Type="http://schemas.openxmlformats.org/officeDocument/2006/relationships/hyperlink" Target="https://www.booking.com/hotel/co/elite-rentar-apartamentos-amoblados.es.html?label=gog235jc-1DCAsoMkIjZWxpdGUtcmVudGFyLWFwYXJ0YW1lbnRvcy1hbW9ibGFkb3NIClgDaDKIAQGYAQq4ARjIAQzYAQPoAQH4AQKIAgGoAgS4AqX0vrwGwAIB0gIkYzZhZDc2NDktMmQ1Yi00ZjA1LWJlMTQtYjYzODY1MDU4MTg42AIE4AIB&amp;sid=93fa566f322f808be7ab10c4661acff5&amp;aid=356980&amp;ucfs=1&amp;arphpl=1&amp;checkin=2025-01-22&amp;checkout=2025-01-23&amp;dest_id=-594819&amp;dest_type=city&amp;group_adults=2&amp;req_adults=2&amp;no_rooms=1&amp;group_children=0&amp;req_children=0&amp;hpos=1&amp;hapos=1&amp;sr_order=popularity&amp;srpvid=71f06b53515a0d36&amp;srepoch=1737472133&amp;all_sr_blocks=190780812_92863450_2_0_0&amp;highlighted_blocks=190780812_92863450_2_0_0&amp;matching_block_id=190780812_92863450_2_0_0&amp;sr_pri_blocks=190780812_92863450_2_0_0__20000000&amp;from=searchresults" TargetMode="External"/><Relationship Id="rId20" Type="http://schemas.openxmlformats.org/officeDocument/2006/relationships/hyperlink" Target="https://www.booking.com/hotel/co/la-casona-de-sar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7104759&amp;dest_type=hotel&amp;group_adults=2&amp;req_adults=2&amp;no_rooms=1&amp;group_children=0&amp;req_children=0&amp;hpos=1&amp;hapos=1&amp;sr_order=popularity&amp;srpvid=b4b9964e8f5103ae&amp;srepoch=1731100960&amp;all_sr_blocks=710475904_392513211_0_1_0&amp;highlighted_blocks=710475904_392513211_0_1_0&amp;matching_block_id=710475904_392513211_0_1_0&amp;sr_pri_blocks=710475904_392513211_0_1_0__200000000&amp;from=searchresults" TargetMode="External"/><Relationship Id="rId41" Type="http://schemas.openxmlformats.org/officeDocument/2006/relationships/hyperlink" Target="https://www.booking.com/hotel/co/eco-lodge-glamping.es.html?aid=304142&amp;label=gen173nr-1FCAEoggI46AdIM1gEaDKIAQGYAQq4ARjIAQzYAQHoAQH4AQyIAgGoAgS4AtaL6LUGwAIB0gIkNjdiNjQ5ZmQtMzJlYy00NmE1LThhOGUtMmU0ZmUyYTgxZjIz2AIG4AIB&amp;sid=d0e7b2a1316f88f544ee0e1e96c3d09e&amp;atlas_src=hp_iw_btn&amp;checkin=2024-09-06&amp;checkout=2024-09-07&amp;dist=0&amp;group_adults=2&amp;group_children=0&amp;no_rooms=1&amp;room1=A%2CA&amp;sb_price_type=total&amp;srepoch=1723468510&amp;srpvid=458c5cfc1afd0260&amp;type=total&amp;" TargetMode="External"/><Relationship Id="rId54" Type="http://schemas.openxmlformats.org/officeDocument/2006/relationships/hyperlink" Target="https://www.booking.com/hotel/co/nomada-guatape.es.html?label=msn-qJCUd8*wq3ieTPmaNHUUww-79920942894960%3Atidat-2331720565597278%3Aloc-43%3Aneo%3Amtb%3Alp142114%3Adec%3AqsNomada+Hotel+Guatap%C3%A9&amp;sid=d0e7b2a1316f88f544ee0e1e96c3d09e&amp;utm_source=bing&amp;utm_medium=cpc&amp;utm_term=qJCUd8*wq3ieTPmaNHUUww%3Fmsclkid%3D6707ee64c7f3192dde9a892410e6442b&amp;utm_content=Hotel_Domestic&amp;utm_campaign=Spanish_Colombia+ES+CO&amp;aid=1181029&amp;ucfs=1&amp;arphpl=1&amp;checkin=2024-11-28&amp;checkout=2024-11-29&amp;dest_id=-585862&amp;dest_type=city&amp;group_adults=2&amp;req_adults=2&amp;no_rooms=1&amp;group_children=0&amp;req_children=0&amp;hpos=1&amp;hapos=1&amp;sr_order=popularity&amp;srpvid=dae686cfabf40186&amp;srepoch=1732302646&amp;all_sr_blocks=1118621209_384769496_2_2_0&amp;highlighted_blocks=1118621209_384769496_2_2_0&amp;matching_block_id=1118621209_384769496_2_2_0&amp;sr_pri_blocks=1118621209_384769496_2_2_0__9288000&amp;from=searchresults" TargetMode="External"/><Relationship Id="rId62" Type="http://schemas.openxmlformats.org/officeDocument/2006/relationships/hyperlink" Target="https://www.booking.com/hotel/co/jordan-boutique.es-mx.html?label=gog235jc-1FCAsoMkIPam9yZGFuLWJvdXRpcXVlSApYA2gyiAEBmAEKuAEYyAEM2AEB6AEB-AECiAIBqAIEuALDjpK6BsACAdICJDBmODRiYWNjLWI5MmMtNDA1Zi04ZDg5LTZkZjFiMmFjZmZjMtgCBeACAQ&amp;sid=1ceb258b5da5325b1f375fc1eb8f6953&amp;aid=356980&amp;ucfs=1&amp;arphpl=1&amp;checkin=2025-01-16&amp;checkout=2025-01-17&amp;dest_id=-585862&amp;dest_type=city&amp;group_adults=2&amp;req_adults=2&amp;no_rooms=1&amp;group_children=1&amp;req_children=1&amp;age=1&amp;req_age=1&amp;hpos=1&amp;hapos=1&amp;sr_order=popularity&amp;srpvid=6fad584881ab0357&amp;srepoch=1734611308&amp;all_sr_blocks=768066504_405311183_2_1_0&amp;highlighted_blocks=768066504_405311183_2_1_0&amp;matching_block_id=768066504_405311183_2_1_0&amp;sr_pri_blocks=768066504_405311183_2_1_0__59664000&amp;from=searchresults" TargetMode="External"/><Relationship Id="rId70" Type="http://schemas.openxmlformats.org/officeDocument/2006/relationships/hyperlink" Target="https://www.booking.com/hotel/ec/luxor-plaza-h-amp-s.es.html?label=abadia-plaza-mjGwQUTG8irIY4AXU8XqvwS388433469787%3Apl%3Ata%3Ap1%3Ap2%3Aac%3Aap%3Aneg%3Afi%3Atikwd-395006989431%3Alp20198%3Ali%3Adec%3Adm%3Appccp%3DUmFuZG9tSVYkc2RlIyh9YavywThF4buZaN3e9Rle2iM&amp;sid=93fa566f322f808be7ab10c4661acff5&amp;aid=311839&amp;ucfs=1&amp;arphpl=1&amp;checkin=2025-01-22&amp;checkout=2025-01-23&amp;dest_id=9477160&amp;dest_type=hotel&amp;group_adults=2&amp;req_adults=2&amp;no_rooms=1&amp;group_children=0&amp;req_children=0&amp;hpos=1&amp;hapos=1&amp;sr_order=popularity&amp;srpvid=ffac6b9650fb0715&amp;srepoch=1737472262&amp;all_sr_blocks=947716001_404523241_3_1_0_731294&amp;highlighted_blocks=947716001_404523241_3_1_0_731294&amp;matching_block_id=947716001_404523241_3_1_0_731294&amp;sr_pri_blocks=947716001_404523241_3_1_0_731294_8800&amp;from=searchresults" TargetMode="External"/><Relationship Id="rId1" Type="http://schemas.openxmlformats.org/officeDocument/2006/relationships/hyperlink" Target="https://www.booking.com/hotel/co/the-boato-el-penol1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6718999&amp;dest_type=hotel&amp;group_adults=2&amp;req_adults=2&amp;no_rooms=1&amp;group_children=0&amp;req_children=0&amp;hpos=1&amp;hapos=1&amp;sr_order=popularity&amp;srpvid=d59694989193006b&amp;srepoch=1731100085&amp;soh=1&amp;from_sustainable_property_sr=1&amp;from=searchresults" TargetMode="External"/><Relationship Id="rId6" Type="http://schemas.openxmlformats.org/officeDocument/2006/relationships/hyperlink" Target="https://www.booking.com/hotel/co/atma-eco-villag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6461982&amp;dest_type=hotel&amp;group_adults=2&amp;req_adults=2&amp;no_rooms=1&amp;group_children=0&amp;req_children=0&amp;hpos=1&amp;hapos=1&amp;sr_order=popularity&amp;srpvid=e03394ed3cee05a6&amp;srepoch=1731100256&amp;all_sr_blocks=646198208_265527266_2_1_0&amp;highlighted_blocks=646198208_265527266_2_1_0&amp;matching_block_id=646198208_265527266_2_1_0&amp;sr_pri_blocks=646198208_265527266_2_1_0__423007200&amp;from_sustainable_property_sr=1&amp;from=searchresults" TargetMode="External"/><Relationship Id="rId15" Type="http://schemas.openxmlformats.org/officeDocument/2006/relationships/hyperlink" Target="https://www.booking.com/hotel/co/la-magdalena-santuario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2278508&amp;dest_type=hotel&amp;group_adults=2&amp;req_adults=2&amp;no_rooms=1&amp;group_children=0&amp;req_children=0&amp;hpos=1&amp;hapos=1&amp;sr_order=popularity&amp;srpvid=168b95b4972802fd&amp;srepoch=1731100653&amp;all_sr_blocks=227850807_335665585_2_1_0&amp;highlighted_blocks=227850807_335665585_2_1_0&amp;matching_block_id=227850807_335665585_2_1_0&amp;sr_pri_blocks=227850807_335665585_2_1_0__432900000&amp;from=searchresults" TargetMode="External"/><Relationship Id="rId23" Type="http://schemas.openxmlformats.org/officeDocument/2006/relationships/hyperlink" Target="https://www.booking.com/hotel/co/posada-las-trampas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401355&amp;dest_type=hotel&amp;group_adults=2&amp;req_adults=2&amp;no_rooms=1&amp;group_children=0&amp;req_children=0&amp;hpos=1&amp;hapos=1&amp;sr_order=popularity&amp;srpvid=e19c96664bd200d7&amp;srepoch=1731101008&amp;soh=1&amp;from_sustainable_property_sr=1&amp;from=searchresults" TargetMode="External"/><Relationship Id="rId28" Type="http://schemas.openxmlformats.org/officeDocument/2006/relationships/hyperlink" Target="https://www.booking.com/hotel/co/bubblesky-glamping-guatape-guatape1.es.html?label=guatape-KQW9h8XFbgTYRBxOuACAeAS501945784499%3Apl%3Ata%3Ap1%3Ap2%3Aac%3Aap%3Aneg%3Afi%3Atikwd-467544111764%3Alp20198%3Ali%3Adec%3Adm&amp;sid=1ceb258b5da5325b1f375fc1eb8f6953&amp;aid=1827201&amp;ucfs=1&amp;arphpl=1&amp;checkin=2024-11-14&amp;checkout=2024-11-15&amp;dest_id=-585862&amp;dest_type=city&amp;group_adults=2&amp;req_adults=2&amp;no_rooms=1&amp;group_children=0&amp;req_children=0&amp;hpos=1&amp;hapos=1&amp;sr_order=popularity&amp;srpvid=190c5d9cdf0a0447&amp;srepoch=1731590396&amp;all_sr_blocks=776657102_384931960_2_41_0&amp;highlighted_blocks=776657102_384931960_2_41_0&amp;matching_block_id=776657102_384931960_2_41_0&amp;sr_pri_blocks=776657102_384931960_2_41_0__44597560&amp;from_sustainable_property_sr=1&amp;from=searchresults" TargetMode="External"/><Relationship Id="rId36" Type="http://schemas.openxmlformats.org/officeDocument/2006/relationships/hyperlink" Target="https://www.booking.com/hotel/co/san-simon-glamping.es.html?aid=304142&amp;label=gen173nr-1FCAEoggI46AdIM1gEaDKIAQGYAQq4ARjIAQzYAQHoAQH4AQyIAgGoAgS4AtaL6LUGwAIB0gIkNjdiNjQ5ZmQtMzJlYy00NmE1LThhOGUtMmU0ZmUyYTgxZjIz2AIG4AIB&amp;sid=d0e7b2a1316f88f544ee0e1e96c3d09e&amp;all_sr_blocks=1064978102_378886255_2_0_0;checkin=2024-11-22;checkout=2024-11-23;dest_id=900058844;dest_type=city;dist=0;group_adults=2;group_children=0;hapos=22;highlighted_blocks=1064978102_378886255_2_0_0;hpos=22;matching_block_id=1064978102_378886255_2_0_0;nflt=hotelfacility%3D4%3Bhotelfacility%3D107%3Bpopular_activities%3D63%3Bht_id%3D220%3Bht_id%3D213;no_rooms=1;req_adults=2;req_children=0;room1=A%2CA;sb_price_type=total;sr_order=popularity;sr_pri_blocks=1064978102_378886255_2_0_0__26535600;srepoch=1723467604;srpvid=4deb5b36216c05f2;type=total;ucfs=1&amp;" TargetMode="External"/><Relationship Id="rId49" Type="http://schemas.openxmlformats.org/officeDocument/2006/relationships/hyperlink" Target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TargetMode="External"/><Relationship Id="rId57" Type="http://schemas.openxmlformats.org/officeDocument/2006/relationships/hyperlink" Target="https://www.booking.com/hotel/co/la-magdalena-santuario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2278508&amp;dest_type=hotel&amp;group_adults=2&amp;req_adults=2&amp;no_rooms=1&amp;group_children=0&amp;req_children=0&amp;hpos=1&amp;hapos=1&amp;sr_order=popularity&amp;srpvid=168b95b4972802fd&amp;srepoch=1731100653&amp;all_sr_blocks=227850807_335665585_2_1_0&amp;highlighted_blocks=227850807_335665585_2_1_0&amp;matching_block_id=227850807_335665585_2_1_0&amp;sr_pri_blocks=227850807_335665585_2_1_0__432900000&amp;from=searchresults" TargetMode="External"/><Relationship Id="rId10" Type="http://schemas.openxmlformats.org/officeDocument/2006/relationships/hyperlink" Target="https://www.booking.com/hotel/co/bubblesky-glamping-guatape-guatape1.es.html?label=gen173nr-1BCAEoggI46AdIM1gEaDKIAQGYAQq4ARfIARXYAQHoAQGIAgGoAgO4Auv6ubkGwAIB0gIkNDIxYWRlNzgtZGMxNy00ZTRiLWI1OTctZWE2NjQ2MGNiNGE52AIF4AIB&amp;sid=4b0d2a11a7f716ea1fbbcbbef9dba78d&amp;aid=304142&amp;ucfs=1&amp;arphpl=1&amp;checkin=2024-11-22&amp;checkout=2024-11-30&amp;group_adults=2&amp;req_adults=2&amp;no_rooms=1&amp;group_children=0&amp;req_children=0&amp;hpos=1&amp;hapos=1&amp;sr_order=popularity&amp;srpvid=53ad9524e2f200ec&amp;srepoch=1731100365&amp;soh=1&amp;from_sustainable_property_sr=1&amp;from=searchresults" TargetMode="External"/><Relationship Id="rId31" Type="http://schemas.openxmlformats.org/officeDocument/2006/relationships/hyperlink" Target="https://www.booking.com/hotel/co/mg-hotels-amp-suites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-596596&amp;dest_type=city&amp;group_adults=2&amp;req_adults=2&amp;no_rooms=1&amp;group_children=0&amp;req_children=0&amp;hpos=1&amp;hapos=1&amp;sr_order=popularity&amp;nflt=ht_id%3D204&amp;srpvid=013a96199ca30164&amp;srepoch=1731100866&amp;all_sr_blocks=204304209_94895693_0_1_0&amp;highlighted_blocks=204304209_94895693_0_1_0&amp;matching_block_id=204304209_94895693_0_1_0&amp;sr_pri_blocks=204304209_94895693_0_1_0__344088000&amp;from_sustainable_property_sr=1&amp;from=searchresults" TargetMode="External"/><Relationship Id="rId44" Type="http://schemas.openxmlformats.org/officeDocument/2006/relationships/hyperlink" Target="https://www.booking.com/hotel/co/glamping-the-mountain.es.html?label=gen173nr-1BCAEoggI46AdIM1gEaDKIAQGYAQq4ARfIARXYAQHoAQGIAgGoAgO4Auv6ubkGwAIB0gIkNDIxYWRlNzgtZGMxNy00ZTRiLWI1OTctZWE2NjQ2MGNiNGE52AIF4AIB&amp;sid=4b0d2a11a7f716ea1fbbcbbef9dba78d&amp;aid=304142&amp;ucfs=1&amp;arphpl=1&amp;checkin=2024-11-22&amp;checkout=2024-11-30&amp;dest_id=8570511&amp;dest_type=hotel&amp;group_adults=2&amp;req_adults=2&amp;no_rooms=1&amp;group_children=0&amp;req_children=0&amp;hpos=1&amp;hapos=1&amp;sr_order=popularity&amp;srpvid=bd40951557cc0237&amp;srepoch=1731100334&amp;all_sr_blocks=857051102_373211362_0_1_0&amp;highlighted_blocks=857051102_373211362_0_1_0&amp;matching_block_id=857051102_373211362_0_1_0&amp;sr_pri_blocks=857051102_373211362_0_1_0__388800000&amp;from_sustainable_property_sr=1&amp;from=searchresults" TargetMode="External"/><Relationship Id="rId52" Type="http://schemas.openxmlformats.org/officeDocument/2006/relationships/hyperlink" Target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TargetMode="External"/><Relationship Id="rId60" Type="http://schemas.openxmlformats.org/officeDocument/2006/relationships/hyperlink" Target="https://www.booking.com/hotel/co/santorini-guatape.es.html?label=santorini-guatape-adMVqiMFou2uglkXXB7DSwS477283917024%3Apl%3Ata%3Ap1%3Ap2%3Aac%3Aap%3Aneg%3Afi%3Atikwd-1298466778990%3Alp20198%3Ali%3Adec%3Adm%3Appccp%3DUmFuZG9tSVYkc2RlIyh9YavywThF4buZaN3e9Rle2iM&amp;sid=1ceb258b5da5325b1f375fc1eb8f6953&amp;gclid=Cj0KCQiAgJa6BhCOARIsAMiL7V-XZYGHYi452WA1oTO-oxzPtMfbKwRYDd9YchoAygQPeAqvILb-IUUaAhh6EALw_wcB&amp;aid=311839&amp;ucfs=1&amp;arphpl=1&amp;checkin=2024-12-14&amp;checkout=2024-12-15&amp;dest_id=-585862&amp;dest_type=city&amp;group_adults=2&amp;req_adults=2&amp;no_rooms=1&amp;group_children=0&amp;req_children=0&amp;hpos=1&amp;hapos=1&amp;sr_order=popularity&amp;srpvid=3fbf61061dac0c47&amp;srepoch=1732628897&amp;all_sr_blocks=607348102_279428404_2_1_0&amp;highlighted_blocks=607348102_279428404_2_1_0&amp;matching_block_id=607348102_279428404_2_1_0&amp;sr_pri_blocks=607348102_279428404_2_1_0__32000000&amp;from=searchresults" TargetMode="External"/><Relationship Id="rId65" Type="http://schemas.openxmlformats.org/officeDocument/2006/relationships/hyperlink" Target="https://www.booking.com/hotel/co/donde-emilio.es.html?label=donde-emilio-i0x99QCjWAOLmeFKXo5FEgS338549907995%3Apl%3Ata%3Ap1%3Ap2%3Aac%3Aap%3Aneg%3Afi%3Atikwd-416223141545%3Alp20198%3Ali%3Adec%3Adm%3Appccp%3DUmFuZG9tSVYkc2RlIyh9YavywThF4buZaN3e9Rle2iM&amp;sid=93fa566f322f808be7ab10c4661acff5&amp;gclid=Cj0KCQiAqL28BhCrARIsACYJvkd9OSEjtUBlVsX9mL-8710AbDRxkU1Tiz-xy9uGOYjyQ14Pz4G-0tMaAiJFEALw_wcB&amp;aid=311839&amp;ucfs=1&amp;arphpl=1&amp;checkin=2025-01-22&amp;checkout=2025-01-23&amp;dest_id=-594819&amp;dest_type=city&amp;group_adults=2&amp;req_adults=2&amp;no_rooms=1&amp;group_children=0&amp;req_children=0&amp;hpos=1&amp;hapos=1&amp;sr_order=popularity&amp;srpvid=eaf06b059e1f02b9&amp;srepoch=1737471974&amp;all_sr_blocks=218147808_97676213_2_1_0&amp;highlighted_blocks=218147808_97676213_2_1_0&amp;matching_block_id=218147808_97676213_2_1_0&amp;sr_pri_blocks=218147808_97676213_2_1_0__18000000&amp;from=searchresults" TargetMode="External"/><Relationship Id="rId73" Type="http://schemas.openxmlformats.org/officeDocument/2006/relationships/printerSettings" Target="../printerSettings/printerSettings2.bin"/><Relationship Id="rId4" Type="http://schemas.openxmlformats.org/officeDocument/2006/relationships/hyperlink" Target="https://www.booking.com/hotel/co/la-pausa-hotelbistro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9224515&amp;dest_type=hotel&amp;group_adults=2&amp;req_adults=2&amp;no_rooms=1&amp;group_children=0&amp;req_children=0&amp;hpos=1&amp;hapos=1&amp;sr_order=popularity&amp;srpvid=93d094c5851502f1&amp;srepoch=1731100176&amp;all_sr_blocks=922451501_403210579_2_41_0&amp;highlighted_blocks=922451501_403210579_2_41_0&amp;matching_block_id=922451501_403210579_2_41_0&amp;sr_pri_blocks=922451501_403210579_2_41_0__436995000&amp;from_sustainable_property_sr=1&amp;from=searchresults" TargetMode="External"/><Relationship Id="rId9" Type="http://schemas.openxmlformats.org/officeDocument/2006/relationships/hyperlink" Target="https://www.booking.com/hotel/co/glamping-the-mountain.es.html?label=gen173nr-1BCAEoggI46AdIM1gEaDKIAQGYAQq4ARfIARXYAQHoAQGIAgGoAgO4Auv6ubkGwAIB0gIkNDIxYWRlNzgtZGMxNy00ZTRiLWI1OTctZWE2NjQ2MGNiNGE52AIF4AIB&amp;sid=4b0d2a11a7f716ea1fbbcbbef9dba78d&amp;aid=304142&amp;ucfs=1&amp;arphpl=1&amp;checkin=2024-11-22&amp;checkout=2024-11-30&amp;dest_id=8570511&amp;dest_type=hotel&amp;group_adults=2&amp;req_adults=2&amp;no_rooms=1&amp;group_children=0&amp;req_children=0&amp;hpos=1&amp;hapos=1&amp;sr_order=popularity&amp;srpvid=bd40951557cc0237&amp;srepoch=1731100334&amp;all_sr_blocks=857051102_373211362_0_1_0&amp;highlighted_blocks=857051102_373211362_0_1_0&amp;matching_block_id=857051102_373211362_0_1_0&amp;sr_pri_blocks=857051102_373211362_0_1_0__388800000&amp;from_sustainable_property_sr=1&amp;from=searchresults" TargetMode="External"/><Relationship Id="rId13" Type="http://schemas.openxmlformats.org/officeDocument/2006/relationships/hyperlink" Target="https://www.booking.com/hotel/co/vivanti-resort.es.html?label=gen173nr-1FCAEoggI46AdIM1gEaDKIAQGYAQq4ARfIARXYAQHoAQH4AQOIAgGoAgO4Auv6ubkGwAIB0gIkNDIxYWRlNzgtZGMxNy00ZTRiLWI1OTctZWE2NjQ2MGNiNGE52AIG4AIB&amp;aid=304142&amp;ucfs=1&amp;arphpl=1&amp;checkin=2024-11-22&amp;checkout=2024-11-30&amp;group_adults=2&amp;req_adults=2&amp;no_rooms=1&amp;group_children=0&amp;req_children=0&amp;hpos=1&amp;hapos=1&amp;sr_order=distance_from_search&amp;srpvid=ce39959ae6b00596&amp;srepoch=1731100601&amp;all_sr_blocks=1117293807_401806153_2_1_0_372951&amp;highlighted_blocks=1117293807_401806153_2_1_0_372951&amp;matching_block_id=1117293807_401806153_2_1_0_372951&amp;sr_pri_blocks=1117293807_401806153_2_1_0_372951_434816000&amp;from_sustainable_property_sr=1&amp;from=searchresults" TargetMode="External"/><Relationship Id="rId18" Type="http://schemas.openxmlformats.org/officeDocument/2006/relationships/hyperlink" Target="https://www.booking.com/hotel/co/y-restaurante-casa-lind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10640660&amp;dest_type=hotel&amp;group_adults=2&amp;req_adults=2&amp;no_rooms=1&amp;group_children=0&amp;req_children=0&amp;hpos=1&amp;hapos=1&amp;sr_order=popularity&amp;srpvid=f46095f141f803af&amp;srepoch=1731100776&amp;all_sr_blocks=1064066010_395588304_2_41_0_492398&amp;highlighted_blocks=1064066010_395588304_2_41_0_492398&amp;matching_block_id=1064066010_395588304_2_41_0_492398&amp;sr_pri_blocks=1064066010_395588304_2_41_0_492398_111755530&amp;from=searchresults" TargetMode="External"/><Relationship Id="rId39" Type="http://schemas.openxmlformats.org/officeDocument/2006/relationships/hyperlink" Target="https://www.booking.com/hotel/co/refugio-del-lago-guatape.es.html?aid=304142&amp;label=gen173nr-1FCAEoggI46AdIM1gEaDKIAQGYAQq4ARjIAQzYAQHoAQH4AQyIAgGoAgS4AtaL6LUGwAIB0gIkNjdiNjQ5ZmQtMzJlYy00NmE1LThhOGUtMmU0ZmUyYTgxZjIz2AIG4AIB&amp;sid=d0e7b2a1316f88f544ee0e1e96c3d09e&amp;all_sr_blocks=1103691301_383203110_2_0_0;checkin=2024-09-06;checkout=2024-09-07;dest_id=900058844;dest_type=city;dist=0;group_adults=2;group_children=0;hapos=7;highlighted_blocks=1103691301_383203110_2_0_0;hpos=7;matching_block_id=1103691301_383203110_2_0_0;nflt=ht_id%3D220%3Bht_id%3D223%3Broomfacility%3D20%3Broomfacility%3D999;no_rooms=1;req_adults=2;req_children=0;room1=A%2CA;sb_price_type=total;sr_order=popularity;sr_pri_blocks=1103691301_383203110_2_0_0__45000000;srepoch=1723467959;srpvid=52525bcd774e0055;type=total;ucfs=1&amp;" TargetMode="External"/><Relationship Id="rId34" Type="http://schemas.openxmlformats.org/officeDocument/2006/relationships/hyperlink" Target="https://www.booking.com/hotel/co/glmping-5-elementos-el-penol-a-30-minutos-de-guatape.es.html?label=gog235jc-1DCAsoMkI0Z2xtcGluZy01LWVsZW1lbnRvcy1lbC1wZW5vbC1hLTMwLW1pbnV0b3MtZGUtZ3VhdGFwZUgKWANoMogBAZgBCrgBGMgBDNgBA-gBAfgBAogCAagCBLgC5PLXuQbAAgHSAiQzNmRlOWZlNy00MmY0LTQ0OWUtOWY0My03NTEwZjEzNTBjYzXYAgTgAgE&amp;sid=1ceb258b5da5325b1f375fc1eb8f6953&amp;aid=356980&amp;ucfs=1&amp;arphpl=1&amp;checkin=2024-11-14&amp;checkout=2024-11-15&amp;dest_id=900058844&amp;dest_type=city&amp;group_adults=2&amp;req_adults=2&amp;no_rooms=1&amp;group_children=0&amp;req_children=0&amp;hpos=1&amp;hapos=1&amp;sr_order=popularity&amp;srpvid=1e6f5df2a94607cc&amp;srepoch=1731590552&amp;all_sr_blocks=1261771001_401045264_2_1_0_637070&amp;highlighted_blocks=1261771001_401045264_2_1_0_637070&amp;matching_block_id=1261771001_401045264_2_1_0_637070&amp;sr_pri_blocks=1261771001_401045264_2_1_0_637070_30800000&amp;from_sustainable_property_sr=1&amp;from=searchresults" TargetMode="External"/><Relationship Id="rId50" Type="http://schemas.openxmlformats.org/officeDocument/2006/relationships/hyperlink" Target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TargetMode="External"/><Relationship Id="rId55" Type="http://schemas.openxmlformats.org/officeDocument/2006/relationships/hyperlink" Target="https://www.booking.com/hotel/co/vivanti-resort.es.html?label=gen173nr-1FCAEoggI46AdIM1gEaDKIAQGYAQq4ARfIARXYAQHoAQH4AQOIAgGoAgO4Auv6ubkGwAIB0gIkNDIxYWRlNzgtZGMxNy00ZTRiLWI1OTctZWE2NjQ2MGNiNGE52AIG4AIB&amp;aid=304142&amp;ucfs=1&amp;arphpl=1&amp;checkin=2024-11-22&amp;checkout=2024-11-30&amp;group_adults=2&amp;req_adults=2&amp;no_rooms=1&amp;group_children=0&amp;req_children=0&amp;hpos=1&amp;hapos=1&amp;sr_order=distance_from_search&amp;srpvid=ce39959ae6b00596&amp;srepoch=1731100601&amp;all_sr_blocks=1117293807_401806153_2_1_0_372951&amp;highlighted_blocks=1117293807_401806153_2_1_0_372951&amp;matching_block_id=1117293807_401806153_2_1_0_372951&amp;sr_pri_blocks=1117293807_401806153_2_1_0_372951_434816000&amp;from_sustainable_property_sr=1&amp;from=searchresults" TargetMode="External"/><Relationship Id="rId7" Type="http://schemas.openxmlformats.org/officeDocument/2006/relationships/hyperlink" Target="https://www.booking.com/hotel/co/bosko-guatap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3879424&amp;dest_type=hotel&amp;group_adults=2&amp;req_adults=2&amp;no_rooms=1&amp;group_children=0&amp;req_children=0&amp;hpos=1&amp;hapos=1&amp;sr_order=popularity&amp;srpvid=661c94dde56f0077&amp;srepoch=1731100222&amp;all_sr_blocks=387942403_391842383_0_1_0_389191&amp;highlighted_blocks=387942403_391842383_0_1_0_389191&amp;matching_block_id=387942403_391842383_0_1_0_389191&amp;sr_pri_blocks=387942403_391842383_0_1_0_389191_708750000&amp;from_sustainable_property_sr=1&amp;from=searchresults" TargetMode="External"/><Relationship Id="rId71" Type="http://schemas.openxmlformats.org/officeDocument/2006/relationships/hyperlink" Target="https://www.booking.com/hotel/co/guatatur.es.html?label=English_Colombia_EN_CO_29562107545-_WDZKP6aira3zHoJLRwvgQS217246346796%3Apl%3Ata%3Ap1%3Ap2%3Aac%3Aap%3Aneg%3Afi55625023303%3Atidsa-323233910078%3Alp20198%3Ali%3Adec%3Adm&amp;sid=93fa566f322f808be7ab10c4661acff5&amp;aid=318615&amp;ucfs=1&amp;arphpl=1&amp;dest_id=315537&amp;dest_type=hotel&amp;group_adults=2&amp;req_adults=2&amp;no_rooms=1&amp;group_children=0&amp;req_children=0&amp;hpos=1&amp;hapos=1&amp;sr_order=popularity&amp;srpvid=4a3461770b430677&amp;srepoch=1739800307&amp;from=searchresult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co/portobelo-guatape.es.html?label=English_Colombia_EN_CO_29562107545-_WDZKP6aira3zHoJLRwvgQS217246346796%3Apl%3Ata%3Ap1%3Ap2%3Aac%3Aap%3Aneg%3Afi55625023303%3Atidsa-323233910078%3Alp20198%3Ali%3Adec%3Adm&amp;sid=93fa566f322f808be7ab10c4661acff5&amp;aid=318615&amp;ucfs=1&amp;arphpl=1&amp;group_adults=2&amp;req_adults=2&amp;no_rooms=1&amp;group_children=0&amp;req_children=0&amp;hpos=8&amp;hapos=8&amp;sr_order=distance_from_search&amp;srpvid=229b6189d75b001e&amp;srepoch=1739800347&amp;from=searchresults" TargetMode="External"/><Relationship Id="rId3" Type="http://schemas.openxmlformats.org/officeDocument/2006/relationships/hyperlink" Target="https://www.booking.com/hotel/co/san-simon-glamping.es.html?label=gog235jc-1DCAsoMkISc2FuLXNpbW9uLWdsYW1waW5nSApYA2gyiAEBmAEKuAEYyAEM2AED6AEB-AECiAIBqAIEuALKyvS5BsACAdICJGRhOWU1YjNmLTM5MzItNGIxZS1hMDUwLWYyYTRjMGYzNmY2NNgCBOACAQ&amp;sid=1ceb258b5da5325b1f375fc1eb8f6953&amp;aid=356980&amp;ucfs=1&amp;arphpl=1&amp;checkin=2024-11-21&amp;checkout=2024-11-22&amp;dest_id=-585862&amp;dest_type=city&amp;group_adults=1&amp;req_adults=1&amp;no_rooms=1&amp;group_children=0&amp;req_children=0&amp;hpos=1&amp;hapos=1&amp;sr_order=popularity&amp;srpvid=2454a8257e62031b&amp;srepoch=1732060537&amp;all_sr_blocks=1064978104_378886258_2_0_0&amp;highlighted_blocks=1064978104_378886258_2_0_0&amp;matching_block_id=1064978104_378886258_2_0_0&amp;sr_pri_blocks=1064978104_378886258_2_0_0__20800000&amp;from=searchresults" TargetMode="External"/><Relationship Id="rId7" Type="http://schemas.openxmlformats.org/officeDocument/2006/relationships/hyperlink" Target="https://www.booking.com/hotel/co/cabanas-navegar.es-mx.html?label=Spanish_Colombia_ES_CO_20153959105-JvWA_BiunE_YalmU9PDZ_QS640874832178%3Apl%3Ata%3Ap1%3Ap2%3Aac%3Aap%3Aneg%3Afi%3Atidsa-162435870265%3Alp20198%3Ali%3Adec%3Adm%3Aag20153959105%3Acmp313803625&amp;sid=1ceb258b5da5325b1f375fc1eb8f6953&amp;aid=318615&amp;ucfs=1&amp;arphpl=1&amp;checkin=2025-01-16&amp;checkout=2025-01-17&amp;dest_id=-585862&amp;dest_type=city&amp;group_adults=2&amp;req_adults=2&amp;no_rooms=1&amp;group_children=1&amp;req_children=1&amp;age=1&amp;req_age=1&amp;hpos=1&amp;hapos=1&amp;sr_order=popularity&amp;srpvid=93d05827e77d073c&amp;srepoch=1734611241&amp;all_sr_blocks=953678210_384057531_5_0_0&amp;highlighted_blocks=953678210_384057531_5_0_0&amp;matching_block_id=953678210_384057531_5_0_0&amp;sr_pri_blocks=953678210_384057531_5_0_0__31900000&amp;from=searchresults" TargetMode="External"/><Relationship Id="rId2" Type="http://schemas.openxmlformats.org/officeDocument/2006/relationships/hyperlink" Target="https://www.booking.com/hotel/co/stay.es.html?label=gog235jc-1DCAsoMkIEc3RheUgKWANoMogBAZgBCrgBGMgBDNgBA-gBAfgBAogCAagCBLgCoML0uQbAAgHSAiQxZTM1MDgxZS1lODRhLTQyMWYtODgxYy1lNzI3YTIxMzkyYjXYAgTgAgE&amp;sid=1ceb258b5da5325b1f375fc1eb8f6953&amp;aid=356980&amp;ucfs=1&amp;arphpl=1&amp;checkin=2024-11-21&amp;checkout=2024-11-22&amp;dest_id=-585862&amp;dest_type=city&amp;group_adults=1&amp;req_adults=1&amp;no_rooms=1&amp;group_children=0&amp;req_children=0&amp;hpos=1&amp;hapos=1&amp;sr_order=popularity&amp;srpvid=127ea610a0e30240&amp;srepoch=1732059482&amp;all_sr_blocks=1112627201_394827974_1_0_0&amp;highlighted_blocks=1112627201_394827974_1_0_0&amp;matching_block_id=1112627201_394827974_1_0_0&amp;sr_pri_blocks=1112627201_394827974_1_0_0__11760000&amp;from_sustainable_property_sr=1&amp;from=searchresults" TargetMode="External"/><Relationship Id="rId1" Type="http://schemas.openxmlformats.org/officeDocument/2006/relationships/hyperlink" Target="https://www.booking.com/hotel/co/omaga.es.html?label=metagha-link-LUCO-hotel-6316547_dev-desktop_los-1_bw-9_dow-Thursday_defdate-0_room-0_gstadt-2_rateid-public_aud-0_gacid-21415124842_mcid-10_ppa-0_clrid-0_ad-1_gstkid-0_checkin-20241128_ppt-Co_lp-2170_r-4994707831949072125&amp;sid=1ceb258b5da5325b1f375fc1eb8f6953&amp;utm_source=metagha&amp;utm_medium=localuniversal&amp;utm_term=hotel-6316547&amp;utm_content=dev-desktop_los-1_bw-9_dow-Thursday_defdate-0_room-0_gstadt-2_rateid-public_aud-0_gacid-21415124842_mcid-10_ppa-0_clrid-0_ad-1_gstkid-0_checkin-20241128_ppt-Co&amp;utm_campaign=CO&amp;gclid=Cj0KCQiAi_G5BhDXARIsAN5SX7o45HMfbv9Du7i_-j1GdzKiVOFGIyr1YKksvuiXYTylNBYLKm0yOdcaAtpSEALw_wcB&amp;aid=356938&amp;ucfs=1&amp;arphpl=1&amp;checkin=2024-11-28&amp;checkout=2024-11-29&amp;dest_id=900058844&amp;dest_type=city&amp;group_adults=2&amp;req_adults=2&amp;no_rooms=1&amp;group_children=0&amp;req_children=0&amp;hpos=1&amp;hapos=1&amp;sr_order=popularity&amp;srpvid=e982a5d7809901c1&amp;srepoch=1732059371&amp;all_sr_blocks=631654701_403431312_2_2_0_703336&amp;highlighted_blocks=631654701_403431312_2_2_0_703336&amp;matching_block_id=631654701_403431312_2_2_0_703336&amp;sr_pri_blocks=631654701_403431312_2_2_0_703336_13440000&amp;from=searchresults" TargetMode="External"/><Relationship Id="rId6" Type="http://schemas.openxmlformats.org/officeDocument/2006/relationships/hyperlink" Target="https://www.booking.com/hotel/co/finca-parcelacion-alemania-1.es.html?label=gog235jc-1BCAsoMkIcZmluY2EtcGFyY2VsYWNpb24tYWxlbWFuaWEtMUgEWANoMogBAZgBCrgBGMgBDNgBAegBAYgCAagCBLgCsNP0uQbAAgHSAiRmYzZlZGIyYS03MTgyLTQ5OGMtYmE5MC00YzE3ODAyNGEwNGLYAgXgAgE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c826019951a600bc&amp;srepoch=1732061666&amp;all_sr_blocks=1293010901_402244377_4_0_0&amp;highlighted_blocks=1293010901_402244377_4_0_0&amp;matching_block_id=1293010901_402244377_4_0_0&amp;sr_pri_blocks=1293010901_402244377_4_0_0__40000000&amp;from=searchresults" TargetMode="External"/><Relationship Id="rId5" Type="http://schemas.openxmlformats.org/officeDocument/2006/relationships/hyperlink" Target="https://www.booking.com/hotel/co/finca-con-jacuzzi-a-15min-de-guatape.es.html?label=gog235jc-1BCAsoMkIkZmluY2EtY29uLWphY3V6emktYS0xNW1pbi1kZS1ndWF0YXBlSFJYA2gyiAEBmAEKuAEYyAEM2AEB6AEBiAIBqAIEuAK80vS5BsACAdICJDRhZmQ0YTAxLWM0ZTgtNGNhZC04OGU1LTMzNDllMWZkN2U1M9gCBeACAQ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9fc2015f23080068&amp;srepoch=1732061550&amp;all_sr_blocks=1277805301_400689207_10_0_0&amp;highlighted_blocks=1277805301_400689207_10_0_0&amp;matching_block_id=1277805301_400689207_10_0_0&amp;sr_pri_blocks=1277805301_400689207_10_0_0__80000000&amp;from=searchresults" TargetMode="External"/><Relationship Id="rId4" Type="http://schemas.openxmlformats.org/officeDocument/2006/relationships/hyperlink" Target="https://www.booking.com/hotel/co/glmping-5-elementos-el-penol-a-30-minutos-de-guatape.es.html?label=gog235jc-1DCAsoMkI0Z2xtcGluZy01LWVsZW1lbnRvcy1lbC1wZW5vbC1hLTMwLW1pbnV0b3MtZGUtZ3VhdGFwZUgKWANoMogBAZgBCrgBGMgBDNgBA-gBAfgBAogCAagCBLgCytH0uQbAAgHSAiQ1ZDRmYjA0Yi1kYjM4LTQ5YzctODI5ZC0yYTJlNzA0MDViNDDYAgTgAgE&amp;sid=1ceb258b5da5325b1f375fc1eb8f6953&amp;aid=356980&amp;ucfs=1&amp;arphpl=1&amp;checkin=2024-11-21&amp;checkout=2024-11-22&amp;dest_id=900058844&amp;dest_type=city&amp;group_adults=1&amp;req_adults=1&amp;no_rooms=1&amp;group_children=0&amp;req_children=0&amp;hpos=1&amp;hapos=1&amp;sr_order=popularity&amp;srpvid=52520125a579028e&amp;srepoch=1732061433&amp;all_sr_blocks=1261771001_401045264_2_1_0_637070&amp;highlighted_blocks=1261771001_401045264_2_1_0_637070&amp;matching_block_id=1261771001_401045264_2_1_0_637070&amp;sr_pri_blocks=1261771001_401045264_2_1_0_637070_30800000&amp;from_sustainable_property_sr=1&amp;from=searchresults" TargetMode="External"/><Relationship Id="rId9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B3E7-AA76-410D-8D51-AC55157784CD}">
  <dimension ref="A1:G19"/>
  <sheetViews>
    <sheetView showGridLines="0" workbookViewId="0">
      <pane ySplit="1" topLeftCell="A2" activePane="bottomLeft" state="frozen"/>
      <selection pane="bottomLeft" activeCell="B6" sqref="B6"/>
    </sheetView>
  </sheetViews>
  <sheetFormatPr baseColWidth="10" defaultRowHeight="14.4" x14ac:dyDescent="0.3"/>
  <cols>
    <col min="1" max="1" width="21.6640625" bestFit="1" customWidth="1"/>
    <col min="2" max="2" width="52.88671875" bestFit="1" customWidth="1"/>
    <col min="3" max="3" width="14" bestFit="1" customWidth="1"/>
    <col min="4" max="4" width="12.6640625" bestFit="1" customWidth="1"/>
    <col min="5" max="5" width="6.6640625" bestFit="1" customWidth="1"/>
  </cols>
  <sheetData>
    <row r="1" spans="1:7" x14ac:dyDescent="0.3">
      <c r="A1" t="s">
        <v>2</v>
      </c>
      <c r="B1" t="s">
        <v>0</v>
      </c>
      <c r="C1" t="s">
        <v>3</v>
      </c>
      <c r="D1" t="s">
        <v>131</v>
      </c>
      <c r="E1" t="s">
        <v>132</v>
      </c>
      <c r="F1" t="s">
        <v>133</v>
      </c>
      <c r="G1" t="s">
        <v>134</v>
      </c>
    </row>
    <row r="2" spans="1:7" x14ac:dyDescent="0.3">
      <c r="A2" t="s">
        <v>4</v>
      </c>
      <c r="B2" t="s">
        <v>44</v>
      </c>
    </row>
    <row r="3" spans="1:7" x14ac:dyDescent="0.3">
      <c r="A3" t="s">
        <v>8</v>
      </c>
      <c r="B3" t="s">
        <v>48</v>
      </c>
    </row>
    <row r="4" spans="1:7" x14ac:dyDescent="0.3">
      <c r="A4" t="s">
        <v>8</v>
      </c>
      <c r="B4" t="s">
        <v>41</v>
      </c>
    </row>
    <row r="5" spans="1:7" x14ac:dyDescent="0.3">
      <c r="A5" t="s">
        <v>7</v>
      </c>
      <c r="B5" t="s">
        <v>42</v>
      </c>
    </row>
    <row r="6" spans="1:7" x14ac:dyDescent="0.3">
      <c r="A6" t="s">
        <v>6</v>
      </c>
      <c r="B6" t="s">
        <v>43</v>
      </c>
    </row>
    <row r="7" spans="1:7" x14ac:dyDescent="0.3">
      <c r="A7" t="s">
        <v>7</v>
      </c>
      <c r="B7" t="s">
        <v>45</v>
      </c>
    </row>
    <row r="8" spans="1:7" x14ac:dyDescent="0.3">
      <c r="A8" t="s">
        <v>46</v>
      </c>
      <c r="B8" t="s">
        <v>117</v>
      </c>
    </row>
    <row r="9" spans="1:7" x14ac:dyDescent="0.3">
      <c r="A9" t="s">
        <v>8</v>
      </c>
      <c r="B9" t="s">
        <v>58</v>
      </c>
    </row>
    <row r="10" spans="1:7" x14ac:dyDescent="0.3">
      <c r="A10" t="s">
        <v>7</v>
      </c>
      <c r="B10" t="s">
        <v>59</v>
      </c>
    </row>
    <row r="11" spans="1:7" x14ac:dyDescent="0.3">
      <c r="A11" t="s">
        <v>8</v>
      </c>
      <c r="B11" t="s">
        <v>62</v>
      </c>
    </row>
    <row r="12" spans="1:7" x14ac:dyDescent="0.3">
      <c r="A12" t="s">
        <v>8</v>
      </c>
      <c r="B12" t="s">
        <v>55</v>
      </c>
    </row>
    <row r="13" spans="1:7" x14ac:dyDescent="0.3">
      <c r="A13" t="s">
        <v>8</v>
      </c>
      <c r="B13" t="s">
        <v>83</v>
      </c>
    </row>
    <row r="14" spans="1:7" x14ac:dyDescent="0.3">
      <c r="A14" t="s">
        <v>8</v>
      </c>
      <c r="B14" t="s">
        <v>88</v>
      </c>
    </row>
    <row r="15" spans="1:7" x14ac:dyDescent="0.3">
      <c r="A15" t="s">
        <v>8</v>
      </c>
      <c r="B15" t="s">
        <v>91</v>
      </c>
    </row>
    <row r="16" spans="1:7" x14ac:dyDescent="0.3">
      <c r="A16" t="s">
        <v>94</v>
      </c>
      <c r="B16" t="s">
        <v>115</v>
      </c>
    </row>
    <row r="17" spans="1:2" x14ac:dyDescent="0.3">
      <c r="A17" t="s">
        <v>97</v>
      </c>
      <c r="B17" t="s">
        <v>116</v>
      </c>
    </row>
    <row r="18" spans="1:2" x14ac:dyDescent="0.3">
      <c r="A18" t="s">
        <v>126</v>
      </c>
      <c r="B18" t="s">
        <v>118</v>
      </c>
    </row>
    <row r="19" spans="1:2" x14ac:dyDescent="0.3">
      <c r="A19" t="s">
        <v>127</v>
      </c>
      <c r="B19" t="s">
        <v>106</v>
      </c>
    </row>
  </sheetData>
  <hyperlinks>
    <hyperlink ref="B9" r:id="rId1" display="https://www.booking.com/hotel/co/omaga.es.html?label=metagha-link-LUCO-hotel-6316547_dev-desktop_los-1_bw-9_dow-Thursday_defdate-0_room-0_gstadt-2_rateid-public_aud-0_gacid-21415124842_mcid-10_ppa-0_clrid-0_ad-1_gstkid-0_checkin-20241128_ppt-Co_lp-2170_r-4994707831949072125&amp;sid=1ceb258b5da5325b1f375fc1eb8f6953&amp;utm_source=metagha&amp;utm_medium=localuniversal&amp;utm_term=hotel-6316547&amp;utm_content=dev-desktop_los-1_bw-9_dow-Thursday_defdate-0_room-0_gstadt-2_rateid-public_aud-0_gacid-21415124842_mcid-10_ppa-0_clrid-0_ad-1_gstkid-0_checkin-20241128_ppt-Co&amp;utm_campaign=CO&amp;gclid=Cj0KCQiAi_G5BhDXARIsAN5SX7o45HMfbv9Du7i_-j1GdzKiVOFGIyr1YKksvuiXYTylNBYLKm0yOdcaAtpSEALw_wcB&amp;aid=356938&amp;ucfs=1&amp;arphpl=1&amp;checkin=2024-11-28&amp;checkout=2024-11-29&amp;dest_id=900058844&amp;dest_type=city&amp;group_adults=2&amp;req_adults=2&amp;no_rooms=1&amp;group_children=0&amp;req_children=0&amp;hpos=1&amp;hapos=1&amp;sr_order=popularity&amp;srpvid=e982a5d7809901c1&amp;srepoch=1732059371&amp;all_sr_blocks=631654701_403431312_2_2_0_703336&amp;highlighted_blocks=631654701_403431312_2_2_0_703336&amp;matching_block_id=631654701_403431312_2_2_0_703336&amp;sr_pri_blocks=631654701_403431312_2_2_0_703336_13440000&amp;from=searchresults" xr:uid="{8553A015-1976-4424-9A73-65C970BA370F}"/>
    <hyperlink ref="B10" r:id="rId2" display="https://www.booking.com/hotel/co/stay.es.html?label=gog235jc-1DCAsoMkIEc3RheUgKWANoMogBAZgBCrgBGMgBDNgBA-gBAfgBAogCAagCBLgCoML0uQbAAgHSAiQxZTM1MDgxZS1lODRhLTQyMWYtODgxYy1lNzI3YTIxMzkyYjXYAgTgAgE&amp;sid=1ceb258b5da5325b1f375fc1eb8f6953&amp;aid=356980&amp;ucfs=1&amp;arphpl=1&amp;checkin=2024-11-21&amp;checkout=2024-11-22&amp;dest_id=-585862&amp;dest_type=city&amp;group_adults=1&amp;req_adults=1&amp;no_rooms=1&amp;group_children=0&amp;req_children=0&amp;hpos=1&amp;hapos=1&amp;sr_order=popularity&amp;srpvid=127ea610a0e30240&amp;srepoch=1732059482&amp;all_sr_blocks=1112627201_394827974_1_0_0&amp;highlighted_blocks=1112627201_394827974_1_0_0&amp;matching_block_id=1112627201_394827974_1_0_0&amp;sr_pri_blocks=1112627201_394827974_1_0_0__11760000&amp;from_sustainable_property_sr=1&amp;from=searchresults" xr:uid="{EF62246C-8112-45F0-98DF-E7C3F1D66E37}"/>
    <hyperlink ref="B11" r:id="rId3" display="https://www.booking.com/hotel/co/san-simon-glamping.es.html?label=gog235jc-1DCAsoMkISc2FuLXNpbW9uLWdsYW1waW5nSApYA2gyiAEBmAEKuAEYyAEM2AED6AEB-AECiAIBqAIEuALKyvS5BsACAdICJGRhOWU1YjNmLTM5MzItNGIxZS1hMDUwLWYyYTRjMGYzNmY2NNgCBOACAQ&amp;sid=1ceb258b5da5325b1f375fc1eb8f6953&amp;aid=356980&amp;ucfs=1&amp;arphpl=1&amp;checkin=2024-11-21&amp;checkout=2024-11-22&amp;dest_id=-585862&amp;dest_type=city&amp;group_adults=1&amp;req_adults=1&amp;no_rooms=1&amp;group_children=0&amp;req_children=0&amp;hpos=1&amp;hapos=1&amp;sr_order=popularity&amp;srpvid=2454a8257e62031b&amp;srepoch=1732060537&amp;all_sr_blocks=1064978104_378886258_2_0_0&amp;highlighted_blocks=1064978104_378886258_2_0_0&amp;matching_block_id=1064978104_378886258_2_0_0&amp;sr_pri_blocks=1064978104_378886258_2_0_0__20800000&amp;from=searchresults" xr:uid="{E79A70A7-61C3-4857-8F36-279211701DC1}"/>
    <hyperlink ref="B12" r:id="rId4" display="https://www.booking.com/hotel/co/glmping-5-elementos-el-penol-a-30-minutos-de-guatape.es.html?label=gog235jc-1DCAsoMkI0Z2xtcGluZy01LWVsZW1lbnRvcy1lbC1wZW5vbC1hLTMwLW1pbnV0b3MtZGUtZ3VhdGFwZUgKWANoMogBAZgBCrgBGMgBDNgBA-gBAfgBAogCAagCBLgCytH0uQbAAgHSAiQ1ZDRmYjA0Yi1kYjM4LTQ5YzctODI5ZC0yYTJlNzA0MDViNDDYAgTgAgE&amp;sid=1ceb258b5da5325b1f375fc1eb8f6953&amp;aid=356980&amp;ucfs=1&amp;arphpl=1&amp;checkin=2024-11-21&amp;checkout=2024-11-22&amp;dest_id=900058844&amp;dest_type=city&amp;group_adults=1&amp;req_adults=1&amp;no_rooms=1&amp;group_children=0&amp;req_children=0&amp;hpos=1&amp;hapos=1&amp;sr_order=popularity&amp;srpvid=52520125a579028e&amp;srepoch=1732061433&amp;all_sr_blocks=1261771001_401045264_2_1_0_637070&amp;highlighted_blocks=1261771001_401045264_2_1_0_637070&amp;matching_block_id=1261771001_401045264_2_1_0_637070&amp;sr_pri_blocks=1261771001_401045264_2_1_0_637070_30800000&amp;from_sustainable_property_sr=1&amp;from=searchresults" xr:uid="{008A1ECE-1E3F-437F-BF38-9931C8950A95}"/>
    <hyperlink ref="B13" r:id="rId5" display="https://www.booking.com/hotel/co/finca-con-jacuzzi-a-15min-de-guatape.es.html?label=gog235jc-1BCAsoMkIkZmluY2EtY29uLWphY3V6emktYS0xNW1pbi1kZS1ndWF0YXBlSFJYA2gyiAEBmAEKuAEYyAEM2AEB6AEBiAIBqAIEuAK80vS5BsACAdICJDRhZmQ0YTAxLWM0ZTgtNGNhZC04OGU1LTMzNDllMWZkN2U1M9gCBeACAQ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9fc2015f23080068&amp;srepoch=1732061550&amp;all_sr_blocks=1277805301_400689207_10_0_0&amp;highlighted_blocks=1277805301_400689207_10_0_0&amp;matching_block_id=1277805301_400689207_10_0_0&amp;sr_pri_blocks=1277805301_400689207_10_0_0__80000000&amp;from=searchresults" xr:uid="{D40C8F3C-FDB3-4E3D-979E-81AE887F7B6D}"/>
    <hyperlink ref="B14" r:id="rId6" display="https://www.booking.com/hotel/co/finca-parcelacion-alemania-1.es.html?label=gog235jc-1BCAsoMkIcZmluY2EtcGFyY2VsYWNpb24tYWxlbWFuaWEtMUgEWANoMogBAZgBCrgBGMgBDNgBAegBAYgCAagCBLgCsNP0uQbAAgHSAiRmYzZlZGIyYS03MTgyLTQ5OGMtYmE5MC00YzE3ODAyNGEwNGLYAgXgAgE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c826019951a600bc&amp;srepoch=1732061666&amp;all_sr_blocks=1293010901_402244377_4_0_0&amp;highlighted_blocks=1293010901_402244377_4_0_0&amp;matching_block_id=1293010901_402244377_4_0_0&amp;sr_pri_blocks=1293010901_402244377_4_0_0__40000000&amp;from=searchresults" xr:uid="{D2BE310B-F1E1-4257-9E06-1829D602557E}"/>
    <hyperlink ref="B8" r:id="rId7" display="https://www.booking.com/hotel/co/cabanas-navegar.es-mx.html?label=Spanish_Colombia_ES_CO_20153959105-JvWA_BiunE_YalmU9PDZ_QS640874832178%3Apl%3Ata%3Ap1%3Ap2%3Aac%3Aap%3Aneg%3Afi%3Atidsa-162435870265%3Alp20198%3Ali%3Adec%3Adm%3Aag20153959105%3Acmp313803625&amp;sid=1ceb258b5da5325b1f375fc1eb8f6953&amp;aid=318615&amp;ucfs=1&amp;arphpl=1&amp;checkin=2025-01-16&amp;checkout=2025-01-17&amp;dest_id=-585862&amp;dest_type=city&amp;group_adults=2&amp;req_adults=2&amp;no_rooms=1&amp;group_children=1&amp;req_children=1&amp;age=1&amp;req_age=1&amp;hpos=1&amp;hapos=1&amp;sr_order=popularity&amp;srpvid=93d05827e77d073c&amp;srepoch=1734611241&amp;all_sr_blocks=953678210_384057531_5_0_0&amp;highlighted_blocks=953678210_384057531_5_0_0&amp;matching_block_id=953678210_384057531_5_0_0&amp;sr_pri_blocks=953678210_384057531_5_0_0__31900000&amp;from=searchresults" xr:uid="{F13BFE1A-0181-49EB-93A4-51A68B01EEAB}"/>
    <hyperlink ref="B19" r:id="rId8" display="https://www.booking.com/hotel/co/portobelo-guatape.es.html?label=English_Colombia_EN_CO_29562107545-_WDZKP6aira3zHoJLRwvgQS217246346796%3Apl%3Ata%3Ap1%3Ap2%3Aac%3Aap%3Aneg%3Afi55625023303%3Atidsa-323233910078%3Alp20198%3Ali%3Adec%3Adm&amp;sid=93fa566f322f808be7ab10c4661acff5&amp;aid=318615&amp;ucfs=1&amp;arphpl=1&amp;group_adults=2&amp;req_adults=2&amp;no_rooms=1&amp;group_children=0&amp;req_children=0&amp;hpos=8&amp;hapos=8&amp;sr_order=distance_from_search&amp;srpvid=229b6189d75b001e&amp;srepoch=1739800347&amp;from=searchresults" xr:uid="{B16B5558-CD75-4578-8BBA-8FF96BB4DB00}"/>
  </hyperlinks>
  <pageMargins left="0.7" right="0.7" top="0.75" bottom="0.75" header="0.3" footer="0.3"/>
  <pageSetup paperSize="9" orientation="portrait" r:id="rId9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B63C-18F2-44BE-92D8-19338A9887F9}">
  <dimension ref="A1:G129"/>
  <sheetViews>
    <sheetView showGridLines="0" zoomScale="115" zoomScaleNormal="115" workbookViewId="0">
      <pane ySplit="1" topLeftCell="A107" activePane="bottomLeft" state="frozen"/>
      <selection pane="bottomLeft" activeCell="C125" sqref="C125"/>
    </sheetView>
  </sheetViews>
  <sheetFormatPr baseColWidth="10" defaultRowHeight="15.6" x14ac:dyDescent="0.3"/>
  <cols>
    <col min="1" max="1" width="42.88671875" customWidth="1"/>
    <col min="2" max="2" width="32.33203125" style="1" customWidth="1"/>
    <col min="3" max="3" width="32.33203125" customWidth="1"/>
    <col min="4" max="4" width="52.109375" bestFit="1" customWidth="1"/>
  </cols>
  <sheetData>
    <row r="1" spans="1:4" ht="14.4" x14ac:dyDescent="0.3">
      <c r="A1" t="s">
        <v>0</v>
      </c>
      <c r="B1" t="s">
        <v>1</v>
      </c>
      <c r="C1" t="s">
        <v>2</v>
      </c>
      <c r="D1" t="s">
        <v>5</v>
      </c>
    </row>
    <row r="2" spans="1:4" ht="14.4" x14ac:dyDescent="0.3">
      <c r="A2" t="s">
        <v>41</v>
      </c>
      <c r="B2" s="2" t="s">
        <v>28</v>
      </c>
      <c r="C2" t="s">
        <v>98</v>
      </c>
      <c r="D2" t="str">
        <f>+Competencia[[#This Row],[Competidor]]&amp;", "&amp;Competencia[[#This Row],[Ciudad]]</f>
        <v>Arvum Hotel Boutique, El peñol</v>
      </c>
    </row>
    <row r="3" spans="1:4" ht="14.4" x14ac:dyDescent="0.3">
      <c r="A3" t="s">
        <v>41</v>
      </c>
      <c r="B3" s="3" t="s">
        <v>51</v>
      </c>
      <c r="C3" t="s">
        <v>98</v>
      </c>
      <c r="D3" t="str">
        <f>+Competencia[[#This Row],[Competidor]]&amp;", "&amp;Competencia[[#This Row],[Ciudad]]</f>
        <v>Eden Hotel , El peñol</v>
      </c>
    </row>
    <row r="4" spans="1:4" ht="14.4" x14ac:dyDescent="0.3">
      <c r="A4" t="s">
        <v>41</v>
      </c>
      <c r="B4" s="2" t="s">
        <v>30</v>
      </c>
      <c r="C4" t="str">
        <f>+INDEX(Cliente[Ciudad],MATCH(Competencia[[#This Row],[Hotel]],Cliente[Hotel],0),1)</f>
        <v>EL PEÑOL, GUATAPÉ</v>
      </c>
      <c r="D4" t="str">
        <f>+Competencia[[#This Row],[Competidor]]&amp;", "&amp;Competencia[[#This Row],[Ciudad]]</f>
        <v>Hotel La Magdalena Adult Only, EL PEÑOL, GUATAPÉ</v>
      </c>
    </row>
    <row r="5" spans="1:4" ht="14.4" x14ac:dyDescent="0.3">
      <c r="A5" t="s">
        <v>41</v>
      </c>
      <c r="B5" s="2" t="s">
        <v>31</v>
      </c>
      <c r="C5" t="str">
        <f>+INDEX(Cliente[Ciudad],MATCH(Competencia[[#This Row],[Hotel]],Cliente[Hotel],0),1)</f>
        <v>EL PEÑOL, GUATAPÉ</v>
      </c>
      <c r="D5" t="str">
        <f>+Competencia[[#This Row],[Competidor]]&amp;", "&amp;Competencia[[#This Row],[Ciudad]]</f>
        <v>Hotel Mansión Guatapé, EL PEÑOL, GUATAPÉ</v>
      </c>
    </row>
    <row r="6" spans="1:4" ht="14.4" x14ac:dyDescent="0.3">
      <c r="A6" t="s">
        <v>41</v>
      </c>
      <c r="B6" s="4" t="s">
        <v>95</v>
      </c>
      <c r="C6" t="s">
        <v>98</v>
      </c>
      <c r="D6" t="str">
        <f>+Competencia[[#This Row],[Competidor]]&amp;", "&amp;Competencia[[#This Row],[Ciudad]]</f>
        <v>Santa Maria de las Aguas  peñol, El peñol</v>
      </c>
    </row>
    <row r="7" spans="1:4" ht="14.4" x14ac:dyDescent="0.3">
      <c r="A7" t="s">
        <v>41</v>
      </c>
      <c r="B7" s="2" t="s">
        <v>17</v>
      </c>
      <c r="C7" t="str">
        <f>+INDEX(Cliente[Ciudad],MATCH(Competencia[[#This Row],[Hotel]],Cliente[Hotel],0),1)</f>
        <v>EL PEÑOL, GUATAPÉ</v>
      </c>
      <c r="D7" t="str">
        <f>+Competencia[[#This Row],[Competidor]]&amp;", "&amp;Competencia[[#This Row],[Ciudad]]</f>
        <v>Tau House, EL PEÑOL, GUATAPÉ</v>
      </c>
    </row>
    <row r="8" spans="1:4" ht="14.4" x14ac:dyDescent="0.3">
      <c r="A8" t="s">
        <v>41</v>
      </c>
      <c r="B8" s="2" t="s">
        <v>29</v>
      </c>
      <c r="C8" t="s">
        <v>7</v>
      </c>
      <c r="D8" t="str">
        <f>+Competencia[[#This Row],[Competidor]]&amp;", "&amp;Competencia[[#This Row],[Ciudad]]</f>
        <v>Vivanti Resort, GUATAPÉ</v>
      </c>
    </row>
    <row r="9" spans="1:4" ht="14.4" x14ac:dyDescent="0.3">
      <c r="A9" t="s">
        <v>48</v>
      </c>
      <c r="B9" s="2" t="s">
        <v>23</v>
      </c>
      <c r="C9" t="str">
        <f>+INDEX(Cliente[Ciudad],MATCH(Competencia[[#This Row],[Hotel]],Cliente[Hotel],0),1)</f>
        <v>EL PEÑOL, GUATAPÉ</v>
      </c>
      <c r="D9" t="str">
        <f>+Competencia[[#This Row],[Competidor]]&amp;", "&amp;Competencia[[#This Row],[Ciudad]]</f>
        <v>Atma Eco Village, EL PEÑOL, GUATAPÉ</v>
      </c>
    </row>
    <row r="10" spans="1:4" ht="14.4" x14ac:dyDescent="0.3">
      <c r="A10" t="s">
        <v>48</v>
      </c>
      <c r="B10" s="2" t="s">
        <v>27</v>
      </c>
      <c r="C10" t="str">
        <f>+INDEX(Cliente[Ciudad],MATCH(Competencia[[#This Row],[Hotel]],Cliente[Hotel],0),1)</f>
        <v>EL PEÑOL, GUATAPÉ</v>
      </c>
      <c r="D10" t="str">
        <f>+Competencia[[#This Row],[Competidor]]&amp;", "&amp;Competencia[[#This Row],[Ciudad]]</f>
        <v>Bethel Lozana Guatape, EL PEÑOL, GUATAPÉ</v>
      </c>
    </row>
    <row r="11" spans="1:4" ht="14.4" x14ac:dyDescent="0.3">
      <c r="A11" t="s">
        <v>48</v>
      </c>
      <c r="B11" s="2" t="s">
        <v>18</v>
      </c>
      <c r="C11" t="s">
        <v>7</v>
      </c>
      <c r="D11" t="str">
        <f>+Competencia[[#This Row],[Competidor]]&amp;", "&amp;Competencia[[#This Row],[Ciudad]]</f>
        <v>Bosko, GUATAPÉ</v>
      </c>
    </row>
    <row r="12" spans="1:4" ht="14.4" x14ac:dyDescent="0.3">
      <c r="A12" t="s">
        <v>48</v>
      </c>
      <c r="B12" s="2" t="s">
        <v>26</v>
      </c>
      <c r="C12" t="str">
        <f>+INDEX(Cliente[Ciudad],MATCH(Competencia[[#This Row],[Hotel]],Cliente[Hotel],0),1)</f>
        <v>EL PEÑOL, GUATAPÉ</v>
      </c>
      <c r="D12" t="str">
        <f>+Competencia[[#This Row],[Competidor]]&amp;", "&amp;Competencia[[#This Row],[Ciudad]]</f>
        <v>BubbleSky Glamping Guatapé, EL PEÑOL, GUATAPÉ</v>
      </c>
    </row>
    <row r="13" spans="1:4" ht="14.4" x14ac:dyDescent="0.3">
      <c r="A13" t="s">
        <v>48</v>
      </c>
      <c r="B13" s="2" t="s">
        <v>25</v>
      </c>
      <c r="C13" t="str">
        <f>+INDEX(Cliente[Ciudad],MATCH(Competencia[[#This Row],[Hotel]],Cliente[Hotel],0),1)</f>
        <v>EL PEÑOL, GUATAPÉ</v>
      </c>
      <c r="D13" t="str">
        <f>+Competencia[[#This Row],[Competidor]]&amp;", "&amp;Competencia[[#This Row],[Ciudad]]</f>
        <v>Glamping The Mountain, EL PEÑOL, GUATAPÉ</v>
      </c>
    </row>
    <row r="14" spans="1:4" ht="14.4" x14ac:dyDescent="0.3">
      <c r="A14" t="s">
        <v>48</v>
      </c>
      <c r="B14" s="2" t="s">
        <v>22</v>
      </c>
      <c r="C14" t="str">
        <f>+INDEX(Cliente[Ciudad],MATCH(Competencia[[#This Row],[Hotel]],Cliente[Hotel],0),1)</f>
        <v>EL PEÑOL, GUATAPÉ</v>
      </c>
      <c r="D14" t="str">
        <f>+Competencia[[#This Row],[Competidor]]&amp;", "&amp;Competencia[[#This Row],[Ciudad]]</f>
        <v>Ibuku Hotel Guatapé - Chalets, EL PEÑOL, GUATAPÉ</v>
      </c>
    </row>
    <row r="15" spans="1:4" ht="14.4" x14ac:dyDescent="0.3">
      <c r="A15" t="s">
        <v>48</v>
      </c>
      <c r="B15" s="2" t="s">
        <v>21</v>
      </c>
      <c r="C15" t="str">
        <f>+INDEX(Cliente[Ciudad],MATCH(Competencia[[#This Row],[Hotel]],Cliente[Hotel],0),1)</f>
        <v>EL PEÑOL, GUATAPÉ</v>
      </c>
      <c r="D15" t="str">
        <f>+Competencia[[#This Row],[Competidor]]&amp;", "&amp;Competencia[[#This Row],[Ciudad]]</f>
        <v>La Pausa Hotelbistro, EL PEÑOL, GUATAPÉ</v>
      </c>
    </row>
    <row r="16" spans="1:4" ht="14.4" x14ac:dyDescent="0.3">
      <c r="A16" t="s">
        <v>48</v>
      </c>
      <c r="B16" s="2" t="s">
        <v>24</v>
      </c>
      <c r="C16" t="str">
        <f>+INDEX(Cliente[Ciudad],MATCH(Competencia[[#This Row],[Hotel]],Cliente[Hotel],0),1)</f>
        <v>EL PEÑOL, GUATAPÉ</v>
      </c>
      <c r="D16" t="str">
        <f>+Competencia[[#This Row],[Competidor]]&amp;", "&amp;Competencia[[#This Row],[Ciudad]]</f>
        <v>Levit Glamping - Hotel Guatapé Peñol, EL PEÑOL, GUATAPÉ</v>
      </c>
    </row>
    <row r="17" spans="1:4" ht="14.4" x14ac:dyDescent="0.3">
      <c r="A17" t="s">
        <v>48</v>
      </c>
      <c r="B17" s="2" t="s">
        <v>20</v>
      </c>
      <c r="C17" t="str">
        <f>+INDEX(Cliente[Ciudad],MATCH(Competencia[[#This Row],[Hotel]],Cliente[Hotel],0),1)</f>
        <v>EL PEÑOL, GUATAPÉ</v>
      </c>
      <c r="D17" t="str">
        <f>+Competencia[[#This Row],[Competidor]]&amp;", "&amp;Competencia[[#This Row],[Ciudad]]</f>
        <v>Luxé Cabañas, EL PEÑOL, GUATAPÉ</v>
      </c>
    </row>
    <row r="18" spans="1:4" ht="14.4" x14ac:dyDescent="0.3">
      <c r="A18" t="s">
        <v>48</v>
      </c>
      <c r="B18" s="2" t="s">
        <v>17</v>
      </c>
      <c r="C18" t="str">
        <f>+INDEX(Cliente[Ciudad],MATCH(Competencia[[#This Row],[Hotel]],Cliente[Hotel],0),1)</f>
        <v>EL PEÑOL, GUATAPÉ</v>
      </c>
      <c r="D18" t="str">
        <f>+Competencia[[#This Row],[Competidor]]&amp;", "&amp;Competencia[[#This Row],[Ciudad]]</f>
        <v>Tau House, EL PEÑOL, GUATAPÉ</v>
      </c>
    </row>
    <row r="19" spans="1:4" ht="14.4" x14ac:dyDescent="0.3">
      <c r="A19" t="s">
        <v>48</v>
      </c>
      <c r="B19" s="2" t="s">
        <v>19</v>
      </c>
      <c r="C19" t="str">
        <f>+INDEX(Cliente[Ciudad],MATCH(Competencia[[#This Row],[Hotel]],Cliente[Hotel],0),1)</f>
        <v>EL PEÑOL, GUATAPÉ</v>
      </c>
      <c r="D19" t="str">
        <f>+Competencia[[#This Row],[Competidor]]&amp;", "&amp;Competencia[[#This Row],[Ciudad]]</f>
        <v>The Boato Hotel, EL PEÑOL, GUATAPÉ</v>
      </c>
    </row>
    <row r="20" spans="1:4" ht="14.4" x14ac:dyDescent="0.3">
      <c r="A20" t="s">
        <v>45</v>
      </c>
      <c r="B20" s="5" t="s">
        <v>54</v>
      </c>
      <c r="C20" t="str">
        <f>+INDEX(Cliente[Ciudad],MATCH(Competencia[[#This Row],[Hotel]],Cliente[Hotel],0),1)</f>
        <v>GUATAPÉ</v>
      </c>
      <c r="D20" t="str">
        <f>+Competencia[[#This Row],[Competidor]]&amp;", "&amp;Competencia[[#This Row],[Ciudad]]</f>
        <v>El Trebol, GUATAPÉ</v>
      </c>
    </row>
    <row r="21" spans="1:4" ht="14.4" x14ac:dyDescent="0.3">
      <c r="A21" t="s">
        <v>45</v>
      </c>
      <c r="B21" s="6" t="s">
        <v>53</v>
      </c>
      <c r="C21" t="s">
        <v>98</v>
      </c>
      <c r="D21" t="str">
        <f>+Competencia[[#This Row],[Competidor]]&amp;", "&amp;Competencia[[#This Row],[Ciudad]]</f>
        <v>Glamping la Cepa GUATAPÉ, El peñol</v>
      </c>
    </row>
    <row r="22" spans="1:4" ht="14.4" x14ac:dyDescent="0.3">
      <c r="A22" t="s">
        <v>45</v>
      </c>
      <c r="B22" s="2" t="s">
        <v>57</v>
      </c>
      <c r="C22" t="str">
        <f>+INDEX(Cliente[Ciudad],MATCH(Competencia[[#This Row],[Hotel]],Cliente[Hotel],0),1)</f>
        <v>GUATAPÉ</v>
      </c>
      <c r="D22" t="str">
        <f>+Competencia[[#This Row],[Competidor]]&amp;", "&amp;Competencia[[#This Row],[Ciudad]]</f>
        <v>Hotel Pietrasanta, GUATAPÉ</v>
      </c>
    </row>
    <row r="23" spans="1:4" ht="14.4" x14ac:dyDescent="0.3">
      <c r="A23" t="s">
        <v>45</v>
      </c>
      <c r="B23" s="7" t="s">
        <v>56</v>
      </c>
      <c r="C23" t="str">
        <f>+INDEX(Cliente[Ciudad],MATCH(Competencia[[#This Row],[Hotel]],Cliente[Hotel],0),1)</f>
        <v>GUATAPÉ</v>
      </c>
      <c r="D23" t="str">
        <f>+Competencia[[#This Row],[Competidor]]&amp;", "&amp;Competencia[[#This Row],[Ciudad]]</f>
        <v>Jordan Hotel Boutique, GUATAPÉ</v>
      </c>
    </row>
    <row r="24" spans="1:4" ht="14.4" x14ac:dyDescent="0.3">
      <c r="A24" t="s">
        <v>45</v>
      </c>
      <c r="B24" s="2" t="s">
        <v>24</v>
      </c>
      <c r="C24" t="str">
        <f>+INDEX(Cliente[Ciudad],MATCH(Competencia[[#This Row],[Hotel]],Cliente[Hotel],0),1)</f>
        <v>GUATAPÉ</v>
      </c>
      <c r="D24" t="str">
        <f>+Competencia[[#This Row],[Competidor]]&amp;", "&amp;Competencia[[#This Row],[Ciudad]]</f>
        <v>Levit Glamping - Hotel Guatapé Peñol, GUATAPÉ</v>
      </c>
    </row>
    <row r="25" spans="1:4" ht="14.4" x14ac:dyDescent="0.3">
      <c r="A25" t="s">
        <v>45</v>
      </c>
      <c r="B25" s="8" t="s">
        <v>52</v>
      </c>
      <c r="C25" t="s">
        <v>98</v>
      </c>
      <c r="D25" t="str">
        <f>+Competencia[[#This Row],[Competidor]]&amp;", "&amp;Competencia[[#This Row],[Ciudad]]</f>
        <v>Magic View El peñol, Guatapé, El peñol</v>
      </c>
    </row>
    <row r="26" spans="1:4" ht="14.4" x14ac:dyDescent="0.3">
      <c r="A26" t="s">
        <v>45</v>
      </c>
      <c r="B26" s="6" t="s">
        <v>47</v>
      </c>
      <c r="C26" t="str">
        <f>+INDEX(Cliente[Ciudad],MATCH(Competencia[[#This Row],[Hotel]],Cliente[Hotel],0),1)</f>
        <v>GUATAPÉ</v>
      </c>
      <c r="D26" t="str">
        <f>+Competencia[[#This Row],[Competidor]]&amp;", "&amp;Competencia[[#This Row],[Ciudad]]</f>
        <v>San simon glamping, El peñol, Guatape, GUATAPÉ</v>
      </c>
    </row>
    <row r="27" spans="1:4" ht="14.4" x14ac:dyDescent="0.3">
      <c r="A27" t="s">
        <v>45</v>
      </c>
      <c r="B27" s="8" t="s">
        <v>19</v>
      </c>
      <c r="C27" t="str">
        <f>+INDEX(Cliente[Ciudad],MATCH(Competencia[[#This Row],[Hotel]],Cliente[Hotel],0),1)</f>
        <v>GUATAPÉ</v>
      </c>
      <c r="D27" t="str">
        <f>+Competencia[[#This Row],[Competidor]]&amp;", "&amp;Competencia[[#This Row],[Ciudad]]</f>
        <v>The Boato Hotel, GUATAPÉ</v>
      </c>
    </row>
    <row r="28" spans="1:4" ht="14.4" x14ac:dyDescent="0.3">
      <c r="A28" t="s">
        <v>44</v>
      </c>
      <c r="B28" s="2" t="s">
        <v>38</v>
      </c>
      <c r="C28" t="str">
        <f>+INDEX(Cliente[Ciudad],MATCH(Competencia[[#This Row],[Hotel]],Cliente[Hotel],0),1)</f>
        <v>Mariquita</v>
      </c>
      <c r="D28" t="str">
        <f>+Competencia[[#This Row],[Competidor]]&amp;", "&amp;Competencia[[#This Row],[Ciudad]]</f>
        <v>Casa De Amigos Hotel Boutique, Mariquita</v>
      </c>
    </row>
    <row r="29" spans="1:4" ht="14.4" x14ac:dyDescent="0.3">
      <c r="A29" t="s">
        <v>44</v>
      </c>
      <c r="B29" s="4" t="s">
        <v>9</v>
      </c>
      <c r="C29" t="s">
        <v>4</v>
      </c>
      <c r="D29" t="str">
        <f>+Competencia[[#This Row],[Competidor]]&amp;", "&amp;Competencia[[#This Row],[Ciudad]]</f>
        <v>Cerro Dorado, Mariquita</v>
      </c>
    </row>
    <row r="30" spans="1:4" ht="14.4" x14ac:dyDescent="0.3">
      <c r="A30" t="s">
        <v>44</v>
      </c>
      <c r="B30" s="2" t="s">
        <v>39</v>
      </c>
      <c r="C30" t="str">
        <f>+INDEX(Cliente[Ciudad],MATCH(Competencia[[#This Row],[Hotel]],Cliente[Hotel],0),1)</f>
        <v>Mariquita</v>
      </c>
      <c r="D30" t="str">
        <f>+Competencia[[#This Row],[Competidor]]&amp;", "&amp;Competencia[[#This Row],[Ciudad]]</f>
        <v>Eco-Glamping Shalom, Mariquita</v>
      </c>
    </row>
    <row r="31" spans="1:4" ht="14.4" x14ac:dyDescent="0.3">
      <c r="A31" t="s">
        <v>44</v>
      </c>
      <c r="B31" s="4" t="s">
        <v>10</v>
      </c>
      <c r="C31" t="str">
        <f>+INDEX(Cliente[Ciudad],MATCH(Competencia[[#This Row],[Hotel]],Cliente[Hotel],0),1)</f>
        <v>Mariquita</v>
      </c>
      <c r="D31" t="str">
        <f>+Competencia[[#This Row],[Competidor]]&amp;", "&amp;Competencia[[#This Row],[Ciudad]]</f>
        <v>Finca Rancho de Luigi, Mariquita</v>
      </c>
    </row>
    <row r="32" spans="1:4" ht="14.4" x14ac:dyDescent="0.3">
      <c r="A32" t="s">
        <v>44</v>
      </c>
      <c r="B32" s="4" t="s">
        <v>13</v>
      </c>
      <c r="C32" t="str">
        <f>+INDEX(Cliente[Ciudad],MATCH(Competencia[[#This Row],[Hotel]],Cliente[Hotel],0),1)</f>
        <v>Mariquita</v>
      </c>
      <c r="D32" t="str">
        <f>+Competencia[[#This Row],[Competidor]]&amp;", "&amp;Competencia[[#This Row],[Ciudad]]</f>
        <v>Glamping Ciudad Perdida Falan, Mariquita</v>
      </c>
    </row>
    <row r="33" spans="1:4" ht="14.4" x14ac:dyDescent="0.3">
      <c r="A33" t="s">
        <v>44</v>
      </c>
      <c r="B33" s="2" t="s">
        <v>14</v>
      </c>
      <c r="C33" t="str">
        <f>+INDEX(Cliente[Ciudad],MATCH(Competencia[[#This Row],[Hotel]],Cliente[Hotel],0),1)</f>
        <v>Mariquita</v>
      </c>
      <c r="D33" t="str">
        <f>+Competencia[[#This Row],[Competidor]]&amp;", "&amp;Competencia[[#This Row],[Ciudad]]</f>
        <v>Hotel Boutique Posada Las Trampas, Mariquita</v>
      </c>
    </row>
    <row r="34" spans="1:4" ht="14.4" x14ac:dyDescent="0.3">
      <c r="A34" t="s">
        <v>44</v>
      </c>
      <c r="B34" s="2" t="s">
        <v>40</v>
      </c>
      <c r="C34" t="str">
        <f>+INDEX(Cliente[Ciudad],MATCH(Competencia[[#This Row],[Hotel]],Cliente[Hotel],0),1)</f>
        <v>Mariquita</v>
      </c>
      <c r="D34" t="str">
        <f>+Competencia[[#This Row],[Competidor]]&amp;", "&amp;Competencia[[#This Row],[Ciudad]]</f>
        <v>Hotel Boutique San Rafael, Mariquita</v>
      </c>
    </row>
    <row r="35" spans="1:4" ht="14.4" x14ac:dyDescent="0.3">
      <c r="A35" t="s">
        <v>44</v>
      </c>
      <c r="B35" s="4" t="s">
        <v>12</v>
      </c>
      <c r="C35" t="str">
        <f>+INDEX(Cliente[Ciudad],MATCH(Competencia[[#This Row],[Hotel]],Cliente[Hotel],0),1)</f>
        <v>Mariquita</v>
      </c>
      <c r="D35" t="str">
        <f>+Competencia[[#This Row],[Competidor]]&amp;", "&amp;Competencia[[#This Row],[Ciudad]]</f>
        <v>Hotel Marqueta, Mariquita</v>
      </c>
    </row>
    <row r="36" spans="1:4" ht="14.4" x14ac:dyDescent="0.3">
      <c r="A36" t="s">
        <v>44</v>
      </c>
      <c r="B36" s="2" t="s">
        <v>11</v>
      </c>
      <c r="C36" t="str">
        <f>+INDEX(Cliente[Ciudad],MATCH(Competencia[[#This Row],[Hotel]],Cliente[Hotel],0),1)</f>
        <v>Mariquita</v>
      </c>
      <c r="D36" t="str">
        <f>+Competencia[[#This Row],[Competidor]]&amp;", "&amp;Competencia[[#This Row],[Ciudad]]</f>
        <v>Hotel Refugio Bike, Mariquita</v>
      </c>
    </row>
    <row r="37" spans="1:4" ht="14.4" x14ac:dyDescent="0.3">
      <c r="A37" t="s">
        <v>44</v>
      </c>
      <c r="B37" s="2" t="s">
        <v>36</v>
      </c>
      <c r="C37" t="str">
        <f>+INDEX(Cliente[Ciudad],MATCH(Competencia[[#This Row],[Hotel]],Cliente[Hotel],0),1)</f>
        <v>Mariquita</v>
      </c>
      <c r="D37" t="str">
        <f>+Competencia[[#This Row],[Competidor]]&amp;", "&amp;Competencia[[#This Row],[Ciudad]]</f>
        <v>La Casona de Sara, Mariquita</v>
      </c>
    </row>
    <row r="38" spans="1:4" ht="14.4" x14ac:dyDescent="0.3">
      <c r="A38" t="s">
        <v>44</v>
      </c>
      <c r="B38" s="2" t="s">
        <v>37</v>
      </c>
      <c r="C38" t="str">
        <f>+INDEX(Cliente[Ciudad],MATCH(Competencia[[#This Row],[Hotel]],Cliente[Hotel],0),1)</f>
        <v>Mariquita</v>
      </c>
      <c r="D38" t="str">
        <f>+Competencia[[#This Row],[Competidor]]&amp;", "&amp;Competencia[[#This Row],[Ciudad]]</f>
        <v>Waka Hotel Rural, Mariquita</v>
      </c>
    </row>
    <row r="39" spans="1:4" ht="14.4" x14ac:dyDescent="0.3">
      <c r="A39" t="s">
        <v>42</v>
      </c>
      <c r="B39" s="2" t="s">
        <v>32</v>
      </c>
      <c r="C39" t="str">
        <f>+INDEX(Cliente[Ciudad],MATCH(Competencia[[#This Row],[Hotel]],Cliente[Hotel],0),1)</f>
        <v>GUATAPÉ</v>
      </c>
      <c r="D39" t="str">
        <f>+Competencia[[#This Row],[Competidor]]&amp;", "&amp;Competencia[[#This Row],[Ciudad]]</f>
        <v>Ayenda Hotel Bambu Guatape, GUATAPÉ</v>
      </c>
    </row>
    <row r="40" spans="1:4" ht="14.4" x14ac:dyDescent="0.3">
      <c r="A40" t="s">
        <v>42</v>
      </c>
      <c r="B40" s="8" t="s">
        <v>110</v>
      </c>
      <c r="C40" t="str">
        <f>+INDEX(Cliente[Ciudad],MATCH(Competencia[[#This Row],[Hotel]],Cliente[Hotel],0),1)</f>
        <v>GUATAPÉ</v>
      </c>
      <c r="D40" t="str">
        <f>+Competencia[[#This Row],[Competidor]]&amp;", "&amp;Competencia[[#This Row],[Ciudad]]</f>
        <v>La Madriguera, GUATAPÉ</v>
      </c>
    </row>
    <row r="41" spans="1:4" ht="14.4" x14ac:dyDescent="0.3">
      <c r="A41" t="s">
        <v>42</v>
      </c>
      <c r="B41" s="4" t="s">
        <v>49</v>
      </c>
      <c r="C41" t="str">
        <f>+INDEX(Cliente[Ciudad],MATCH(Competencia[[#This Row],[Hotel]],Cliente[Hotel],0),1)</f>
        <v>GUATAPÉ</v>
      </c>
      <c r="D41" t="str">
        <f>+Competencia[[#This Row],[Competidor]]&amp;", "&amp;Competencia[[#This Row],[Ciudad]]</f>
        <v>Brisas de Guatapé, GUATAPÉ</v>
      </c>
    </row>
    <row r="42" spans="1:4" ht="14.4" x14ac:dyDescent="0.3">
      <c r="A42" t="s">
        <v>42</v>
      </c>
      <c r="B42" s="4" t="s">
        <v>16</v>
      </c>
      <c r="C42" t="str">
        <f>+INDEX(Cliente[Ciudad],MATCH(Competencia[[#This Row],[Hotel]],Cliente[Hotel],0),1)</f>
        <v>GUATAPÉ</v>
      </c>
      <c r="D42" t="str">
        <f>+Competencia[[#This Row],[Competidor]]&amp;", "&amp;Competencia[[#This Row],[Ciudad]]</f>
        <v>Glamping con jacuzzi , GUATAPÉ</v>
      </c>
    </row>
    <row r="43" spans="1:4" ht="14.4" x14ac:dyDescent="0.3">
      <c r="A43" t="s">
        <v>42</v>
      </c>
      <c r="B43" s="2" t="s">
        <v>33</v>
      </c>
      <c r="C43" t="str">
        <f>+INDEX(Cliente[Ciudad],MATCH(Competencia[[#This Row],[Hotel]],Cliente[Hotel],0),1)</f>
        <v>GUATAPÉ</v>
      </c>
      <c r="D43" t="str">
        <f>+Competencia[[#This Row],[Competidor]]&amp;", "&amp;Competencia[[#This Row],[Ciudad]]</f>
        <v>Hotel Casa Linda Guatape, GUATAPÉ</v>
      </c>
    </row>
    <row r="44" spans="1:4" ht="28.8" x14ac:dyDescent="0.3">
      <c r="A44" t="s">
        <v>42</v>
      </c>
      <c r="B44" s="7" t="s">
        <v>92</v>
      </c>
      <c r="C44" t="str">
        <f>+INDEX(Cliente[Ciudad],MATCH(Competencia[[#This Row],[Hotel]],Cliente[Hotel],0),1)</f>
        <v>GUATAPÉ</v>
      </c>
      <c r="D44" t="str">
        <f>+Competencia[[#This Row],[Competidor]]&amp;", "&amp;Competencia[[#This Row],[Ciudad]]</f>
        <v>Hotel Stay Guatape a dos cuadras del parque., GUATAPÉ</v>
      </c>
    </row>
    <row r="45" spans="1:4" ht="14.4" x14ac:dyDescent="0.3">
      <c r="A45" t="s">
        <v>42</v>
      </c>
      <c r="B45" s="4" t="s">
        <v>50</v>
      </c>
      <c r="C45" t="str">
        <f>+INDEX(Cliente[Ciudad],MATCH(Competencia[[#This Row],[Hotel]],Cliente[Hotel],0),1)</f>
        <v>GUATAPÉ</v>
      </c>
      <c r="D45" t="str">
        <f>+Competencia[[#This Row],[Competidor]]&amp;", "&amp;Competencia[[#This Row],[Ciudad]]</f>
        <v>Hotel Real Guatapé., GUATAPÉ</v>
      </c>
    </row>
    <row r="46" spans="1:4" ht="14.4" x14ac:dyDescent="0.3">
      <c r="A46" t="s">
        <v>43</v>
      </c>
      <c r="B46" s="2" t="s">
        <v>35</v>
      </c>
      <c r="C46" t="str">
        <f>+INDEX(Cliente[Ciudad],MATCH(Competencia[[#This Row],[Hotel]],Cliente[Hotel],0),1)</f>
        <v>MARINILLA, ANTIOQUIA</v>
      </c>
      <c r="D46" t="str">
        <f>+Competencia[[#This Row],[Competidor]]&amp;", "&amp;Competencia[[#This Row],[Ciudad]]</f>
        <v>MG Hotels &amp; Suites, MARINILLA, ANTIOQUIA</v>
      </c>
    </row>
    <row r="47" spans="1:4" ht="28.8" x14ac:dyDescent="0.3">
      <c r="A47" t="s">
        <v>43</v>
      </c>
      <c r="B47" s="7" t="s">
        <v>99</v>
      </c>
      <c r="C47" t="str">
        <f>+INDEX(Cliente[Ciudad],MATCH(Competencia[[#This Row],[Hotel]],Cliente[Hotel],0),1)</f>
        <v>MARINILLA, ANTIOQUIA</v>
      </c>
      <c r="D47" t="str">
        <f>+Competencia[[#This Row],[Competidor]]&amp;", "&amp;Competencia[[#This Row],[Ciudad]]</f>
        <v>Cabañas tipo glamping cerca al peñol LUUM, MARINILLA, ANTIOQUIA</v>
      </c>
    </row>
    <row r="48" spans="1:4" ht="14.4" x14ac:dyDescent="0.3">
      <c r="A48" t="s">
        <v>43</v>
      </c>
      <c r="B48" s="2" t="s">
        <v>34</v>
      </c>
      <c r="C48" t="str">
        <f>+INDEX(Cliente[Ciudad],MATCH(Competencia[[#This Row],[Hotel]],Cliente[Hotel],0),1)</f>
        <v>MARINILLA, ANTIOQUIA</v>
      </c>
      <c r="D48" t="str">
        <f>+Competencia[[#This Row],[Competidor]]&amp;", "&amp;Competencia[[#This Row],[Ciudad]]</f>
        <v>Movich Hotel Las Lomas, MARINILLA, ANTIOQUIA</v>
      </c>
    </row>
    <row r="49" spans="1:6" ht="14.4" x14ac:dyDescent="0.3">
      <c r="A49" t="s">
        <v>43</v>
      </c>
      <c r="B49" s="7" t="s">
        <v>15</v>
      </c>
      <c r="C49" t="str">
        <f>+INDEX(Cliente[Ciudad],MATCH(Competencia[[#This Row],[Hotel]],Cliente[Hotel],0),1)</f>
        <v>MARINILLA, ANTIOQUIA</v>
      </c>
      <c r="D49" t="str">
        <f>+Competencia[[#This Row],[Competidor]]&amp;", "&amp;Competencia[[#This Row],[Ciudad]]</f>
        <v>Cannua Lodge, MARINILLA, ANTIOQUIA</v>
      </c>
    </row>
    <row r="50" spans="1:6" ht="14.4" x14ac:dyDescent="0.3">
      <c r="A50" t="s">
        <v>63</v>
      </c>
      <c r="B50" s="8" t="s">
        <v>52</v>
      </c>
      <c r="C50" t="s">
        <v>98</v>
      </c>
      <c r="D50" t="str">
        <f>+Competencia[[#This Row],[Competidor]]&amp;", "&amp;Competencia[[#This Row],[Ciudad]]</f>
        <v>Magic View El peñol, Guatapé, El peñol</v>
      </c>
    </row>
    <row r="51" spans="1:6" ht="14.4" x14ac:dyDescent="0.3">
      <c r="A51" t="s">
        <v>63</v>
      </c>
      <c r="B51" s="6" t="s">
        <v>47</v>
      </c>
      <c r="C51" t="s">
        <v>7</v>
      </c>
      <c r="D51" t="str">
        <f>+Competencia[[#This Row],[Competidor]]&amp;", "&amp;Competencia[[#This Row],[Ciudad]]</f>
        <v>San simon glamping, El peñol, Guatape, GUATAPÉ</v>
      </c>
    </row>
    <row r="52" spans="1:6" ht="14.4" x14ac:dyDescent="0.3">
      <c r="A52" t="s">
        <v>63</v>
      </c>
      <c r="B52" s="2" t="s">
        <v>25</v>
      </c>
      <c r="C52" t="e">
        <f>+INDEX(Cliente[Ciudad],MATCH(Competencia[[#This Row],[Hotel]],Cliente[Hotel],0),1)</f>
        <v>#N/A</v>
      </c>
      <c r="D52" t="e">
        <f>+Competencia[[#This Row],[Competidor]]&amp;", "&amp;Competencia[[#This Row],[Ciudad]]</f>
        <v>#N/A</v>
      </c>
    </row>
    <row r="53" spans="1:6" ht="28.8" x14ac:dyDescent="0.3">
      <c r="A53" t="s">
        <v>93</v>
      </c>
      <c r="B53" s="2" t="s">
        <v>55</v>
      </c>
      <c r="C53" t="s">
        <v>94</v>
      </c>
      <c r="D53" t="str">
        <f>+Competencia[[#This Row],[Competidor]]&amp;", "&amp;Competencia[[#This Row],[Ciudad]]</f>
        <v>Glamping con jacuzzi y cocina- El Peñol a 30 minutos de Guatapé, EL PEÑOL</v>
      </c>
    </row>
    <row r="54" spans="1:6" ht="14.4" x14ac:dyDescent="0.3">
      <c r="A54" t="s">
        <v>117</v>
      </c>
      <c r="B54" s="8" t="s">
        <v>64</v>
      </c>
      <c r="C54" t="s">
        <v>96</v>
      </c>
      <c r="D54" t="str">
        <f>+Competencia[[#This Row],[Competidor]]&amp;", "&amp;Competencia[[#This Row],[Ciudad]]</f>
        <v>Cabañas Refugio Himalaya, Guatapé</v>
      </c>
    </row>
    <row r="55" spans="1:6" ht="14.4" x14ac:dyDescent="0.3">
      <c r="A55" t="s">
        <v>63</v>
      </c>
      <c r="B55" s="8" t="s">
        <v>26</v>
      </c>
      <c r="C55" t="e">
        <f>+INDEX(Cliente[Ciudad],MATCH(Competencia[[#This Row],[Hotel]],Cliente[Hotel],0),1)</f>
        <v>#N/A</v>
      </c>
      <c r="D55" t="e">
        <f>+Competencia[[#This Row],[Competidor]]&amp;", "&amp;Competencia[[#This Row],[Ciudad]]</f>
        <v>#N/A</v>
      </c>
    </row>
    <row r="56" spans="1:6" ht="14.4" x14ac:dyDescent="0.3">
      <c r="A56" t="s">
        <v>58</v>
      </c>
      <c r="B56" t="s">
        <v>59</v>
      </c>
      <c r="C56" t="s">
        <v>96</v>
      </c>
      <c r="D56" t="str">
        <f>+Competencia[[#This Row],[Competidor]]&amp;", "&amp;Competencia[[#This Row],[Ciudad]]</f>
        <v>Hotel Stay Guatape a dos cuadras del parque, Guatapé</v>
      </c>
    </row>
    <row r="57" spans="1:6" ht="14.4" x14ac:dyDescent="0.3">
      <c r="A57" t="s">
        <v>58</v>
      </c>
      <c r="B57" s="2" t="s">
        <v>108</v>
      </c>
      <c r="C57" t="s">
        <v>97</v>
      </c>
      <c r="D57" t="str">
        <f>+Competencia[[#This Row],[Competidor]]&amp;", "&amp;Competencia[[#This Row],[Ciudad]]</f>
        <v xml:space="preserve">Bramasole Hotel Boutique - El Peñol, El peñol </v>
      </c>
    </row>
    <row r="58" spans="1:6" ht="28.8" x14ac:dyDescent="0.3">
      <c r="A58" t="s">
        <v>58</v>
      </c>
      <c r="B58" s="2" t="s">
        <v>60</v>
      </c>
      <c r="C58" t="s">
        <v>96</v>
      </c>
      <c r="D58" t="str">
        <f>+Competencia[[#This Row],[Competidor]]&amp;", "&amp;Competencia[[#This Row],[Ciudad]]</f>
        <v>Hotel Las Vegas, Guatapé</v>
      </c>
      <c r="F58" s="2" t="s">
        <v>60</v>
      </c>
    </row>
    <row r="59" spans="1:6" ht="14.4" x14ac:dyDescent="0.3">
      <c r="A59" t="s">
        <v>58</v>
      </c>
      <c r="B59" s="2" t="s">
        <v>109</v>
      </c>
      <c r="C59" t="s">
        <v>96</v>
      </c>
      <c r="D59" t="str">
        <f>+Competencia[[#This Row],[Competidor]]&amp;", "&amp;Competencia[[#This Row],[Ciudad]]</f>
        <v>NOMADA HOTEL GUATAPE, Guatapé</v>
      </c>
      <c r="F59" s="5" t="s">
        <v>104</v>
      </c>
    </row>
    <row r="60" spans="1:6" ht="14.4" x14ac:dyDescent="0.3">
      <c r="A60" t="s">
        <v>58</v>
      </c>
      <c r="B60" s="9" t="s">
        <v>61</v>
      </c>
      <c r="C60" t="s">
        <v>96</v>
      </c>
      <c r="D60" t="str">
        <f>+Competencia[[#This Row],[Competidor]]&amp;", "&amp;Competencia[[#This Row],[Ciudad]]</f>
        <v>Hotel porto guatapé, Guatapé</v>
      </c>
    </row>
    <row r="61" spans="1:6" ht="14.4" x14ac:dyDescent="0.3">
      <c r="A61" t="s">
        <v>62</v>
      </c>
      <c r="B61" s="8" t="s">
        <v>52</v>
      </c>
      <c r="C61" t="s">
        <v>98</v>
      </c>
      <c r="D61" t="str">
        <f>+Competencia[[#This Row],[Competidor]]&amp;", "&amp;Competencia[[#This Row],[Ciudad]]</f>
        <v>Magic View El peñol, Guatapé, El peñol</v>
      </c>
      <c r="F61" s="2"/>
    </row>
    <row r="62" spans="1:6" ht="14.4" x14ac:dyDescent="0.3">
      <c r="A62" t="s">
        <v>62</v>
      </c>
      <c r="B62" t="s">
        <v>117</v>
      </c>
      <c r="C62" t="s">
        <v>96</v>
      </c>
      <c r="D62" t="str">
        <f>+Competencia[[#This Row],[Competidor]]&amp;", "&amp;Competencia[[#This Row],[Ciudad]]</f>
        <v>Marina Navegar- El peñol, Guatape, Guatapé</v>
      </c>
    </row>
    <row r="63" spans="1:6" ht="14.4" x14ac:dyDescent="0.3">
      <c r="A63" t="s">
        <v>62</v>
      </c>
      <c r="B63" s="2" t="s">
        <v>25</v>
      </c>
      <c r="C63" t="str">
        <f>+INDEX(Cliente[Ciudad],MATCH(Competencia[[#This Row],[Hotel]],Cliente[Hotel],0),1)</f>
        <v>EL PEÑOL, GUATAPÉ</v>
      </c>
      <c r="D63" t="str">
        <f>+Competencia[[#This Row],[Competidor]]&amp;", "&amp;Competencia[[#This Row],[Ciudad]]</f>
        <v>Glamping The Mountain, EL PEÑOL, GUATAPÉ</v>
      </c>
    </row>
    <row r="64" spans="1:6" ht="28.8" x14ac:dyDescent="0.3">
      <c r="A64" t="s">
        <v>62</v>
      </c>
      <c r="B64" s="2" t="s">
        <v>55</v>
      </c>
      <c r="C64" t="s">
        <v>96</v>
      </c>
      <c r="D64" t="str">
        <f>+Competencia[[#This Row],[Competidor]]&amp;", "&amp;Competencia[[#This Row],[Ciudad]]</f>
        <v>Glamping con jacuzzi y cocina- El Peñol a 30 minutos de Guatapé, Guatapé</v>
      </c>
    </row>
    <row r="65" spans="1:7" ht="14.4" x14ac:dyDescent="0.3">
      <c r="A65" t="s">
        <v>62</v>
      </c>
      <c r="B65" s="8" t="s">
        <v>64</v>
      </c>
      <c r="C65" t="s">
        <v>96</v>
      </c>
      <c r="D65" t="str">
        <f>+Competencia[[#This Row],[Competidor]]&amp;", "&amp;Competencia[[#This Row],[Ciudad]]</f>
        <v>Cabañas Refugio Himalaya, Guatapé</v>
      </c>
      <c r="G65" s="2"/>
    </row>
    <row r="66" spans="1:7" ht="14.4" x14ac:dyDescent="0.3">
      <c r="A66" t="s">
        <v>62</v>
      </c>
      <c r="B66" s="8" t="s">
        <v>26</v>
      </c>
      <c r="C66" t="str">
        <f>+INDEX(Cliente[Ciudad],MATCH(Competencia[[#This Row],[Hotel]],Cliente[Hotel],0),1)</f>
        <v>EL PEÑOL, GUATAPÉ</v>
      </c>
      <c r="D66" t="str">
        <f>+Competencia[[#This Row],[Competidor]]&amp;", "&amp;Competencia[[#This Row],[Ciudad]]</f>
        <v>BubbleSky Glamping Guatapé, EL PEÑOL, GUATAPÉ</v>
      </c>
      <c r="G66" s="5"/>
    </row>
    <row r="67" spans="1:7" ht="14.4" x14ac:dyDescent="0.3">
      <c r="A67" t="s">
        <v>59</v>
      </c>
      <c r="B67" s="2" t="s">
        <v>32</v>
      </c>
      <c r="C67" t="str">
        <f>+INDEX(Cliente[Ciudad],MATCH(Competencia[[#This Row],[Hotel]],Cliente[Hotel],0),1)</f>
        <v>GUATAPÉ</v>
      </c>
      <c r="D67" t="str">
        <f>+Competencia[[#This Row],[Competidor]]&amp;", "&amp;Competencia[[#This Row],[Ciudad]]</f>
        <v>Ayenda Hotel Bambu Guatape, GUATAPÉ</v>
      </c>
    </row>
    <row r="68" spans="1:7" ht="14.4" x14ac:dyDescent="0.3">
      <c r="A68" t="s">
        <v>59</v>
      </c>
      <c r="B68" s="8" t="s">
        <v>111</v>
      </c>
      <c r="C68" t="str">
        <f>+INDEX(Cliente[Ciudad],MATCH(Competencia[[#This Row],[Hotel]],Cliente[Hotel],0),1)</f>
        <v>GUATAPÉ</v>
      </c>
      <c r="D68" t="str">
        <f>+Competencia[[#This Row],[Competidor]]&amp;", "&amp;Competencia[[#This Row],[Ciudad]]</f>
        <v>Hotel Las Guacamayas Guatapé, GUATAPÉ</v>
      </c>
    </row>
    <row r="69" spans="1:7" ht="14.4" x14ac:dyDescent="0.3">
      <c r="A69" t="s">
        <v>59</v>
      </c>
      <c r="B69" s="4" t="s">
        <v>105</v>
      </c>
      <c r="C69" t="str">
        <f>+INDEX(Cliente[Ciudad],MATCH(Competencia[[#This Row],[Hotel]],Cliente[Hotel],0),1)</f>
        <v>GUATAPÉ</v>
      </c>
      <c r="D69" t="str">
        <f>+Competencia[[#This Row],[Competidor]]&amp;", "&amp;Competencia[[#This Row],[Ciudad]]</f>
        <v>Hotel spa bliss guatapé, GUATAPÉ</v>
      </c>
      <c r="G69" s="2"/>
    </row>
    <row r="70" spans="1:7" ht="14.4" x14ac:dyDescent="0.3">
      <c r="A70" t="s">
        <v>59</v>
      </c>
      <c r="B70" s="2" t="s">
        <v>107</v>
      </c>
      <c r="C70" t="str">
        <f>+INDEX(Cliente[Ciudad],MATCH(Competencia[[#This Row],[Hotel]],Cliente[Hotel],0),1)</f>
        <v>GUATAPÉ</v>
      </c>
      <c r="D70" t="str">
        <f>+Competencia[[#This Row],[Competidor]]&amp;", "&amp;Competencia[[#This Row],[Ciudad]]</f>
        <v>Hotel Brisas De Guatape, GUATAPÉ</v>
      </c>
      <c r="G70" s="2"/>
    </row>
    <row r="71" spans="1:7" ht="14.4" x14ac:dyDescent="0.3">
      <c r="A71" t="s">
        <v>59</v>
      </c>
      <c r="B71" s="2" t="s">
        <v>106</v>
      </c>
      <c r="C71" t="str">
        <f>+INDEX(Cliente[Ciudad],MATCH(Competencia[[#This Row],[Hotel]],Cliente[Hotel],0),1)</f>
        <v>GUATAPÉ</v>
      </c>
      <c r="D71" t="str">
        <f>+Competencia[[#This Row],[Competidor]]&amp;", "&amp;Competencia[[#This Row],[Ciudad]]</f>
        <v>Hotel Portobelo Guatape, GUATAPÉ</v>
      </c>
    </row>
    <row r="72" spans="1:7" ht="14.4" x14ac:dyDescent="0.3">
      <c r="A72" t="s">
        <v>59</v>
      </c>
      <c r="B72" s="2" t="s">
        <v>60</v>
      </c>
      <c r="C72" t="str">
        <f>+INDEX(Cliente[Ciudad],MATCH(Competencia[[#This Row],[Hotel]],Cliente[Hotel],0),1)</f>
        <v>GUATAPÉ</v>
      </c>
      <c r="D72" t="str">
        <f>+Competencia[[#This Row],[Competidor]]&amp;", "&amp;Competencia[[#This Row],[Ciudad]]</f>
        <v>Hotel Las Vegas, GUATAPÉ</v>
      </c>
    </row>
    <row r="73" spans="1:7" ht="14.4" x14ac:dyDescent="0.3">
      <c r="A73" t="s">
        <v>59</v>
      </c>
      <c r="B73" s="7" t="s">
        <v>103</v>
      </c>
      <c r="C73" t="str">
        <f>+INDEX(Cliente[Ciudad],MATCH(Competencia[[#This Row],[Hotel]],Cliente[Hotel],0),1)</f>
        <v>GUATAPÉ</v>
      </c>
      <c r="D73" t="str">
        <f>+Competencia[[#This Row],[Competidor]]&amp;", "&amp;Competencia[[#This Row],[Ciudad]]</f>
        <v>Hotel Guatatur, GUATAPÉ</v>
      </c>
    </row>
    <row r="74" spans="1:7" ht="14.4" x14ac:dyDescent="0.3">
      <c r="A74" t="s">
        <v>59</v>
      </c>
      <c r="B74" s="4" t="s">
        <v>50</v>
      </c>
      <c r="C74" t="str">
        <f>+INDEX(Cliente[Ciudad],MATCH(Competencia[[#This Row],[Hotel]],Cliente[Hotel],0),1)</f>
        <v>GUATAPÉ</v>
      </c>
      <c r="D74" t="str">
        <f>+Competencia[[#This Row],[Competidor]]&amp;", "&amp;Competencia[[#This Row],[Ciudad]]</f>
        <v>Hotel Real Guatapé., GUATAPÉ</v>
      </c>
    </row>
    <row r="75" spans="1:7" ht="14.4" x14ac:dyDescent="0.3">
      <c r="A75" t="s">
        <v>55</v>
      </c>
      <c r="B75" s="10" t="s">
        <v>65</v>
      </c>
      <c r="C75" t="s">
        <v>96</v>
      </c>
      <c r="D75" t="str">
        <f>+Competencia[[#This Row],[Competidor]]&amp;", "&amp;Competencia[[#This Row],[Ciudad]]</f>
        <v>San Simon Glamping,El peñol,Guatape, Guatapé (precios actualizados 2024) (booking.com), Guatapé</v>
      </c>
    </row>
    <row r="76" spans="1:7" ht="14.4" x14ac:dyDescent="0.3">
      <c r="A76" t="s">
        <v>55</v>
      </c>
      <c r="B76" s="10" t="s">
        <v>66</v>
      </c>
      <c r="C76" t="s">
        <v>96</v>
      </c>
      <c r="D76" t="str">
        <f>+Competencia[[#This Row],[Competidor]]&amp;", "&amp;Competencia[[#This Row],[Ciudad]]</f>
        <v>Cabañas Navegar- El peñol, Guatape, Guatapé (precios actualizados 2024) (booking.com), Guatapé</v>
      </c>
    </row>
    <row r="77" spans="1:7" ht="14.4" x14ac:dyDescent="0.3">
      <c r="A77" t="s">
        <v>55</v>
      </c>
      <c r="B77" s="10" t="s">
        <v>67</v>
      </c>
      <c r="C77" t="s">
        <v>98</v>
      </c>
      <c r="D77" t="str">
        <f>+Competencia[[#This Row],[Competidor]]&amp;", "&amp;Competencia[[#This Row],[Ciudad]]</f>
        <v>Magic View - El peñol, Guatape, El Peñol (precios actualizados 2024) (booking.com), El peñol</v>
      </c>
    </row>
    <row r="78" spans="1:7" ht="14.4" x14ac:dyDescent="0.3">
      <c r="A78" t="s">
        <v>55</v>
      </c>
      <c r="B78" s="10" t="s">
        <v>68</v>
      </c>
      <c r="C78" t="s">
        <v>96</v>
      </c>
      <c r="D78" t="str">
        <f>+Competencia[[#This Row],[Competidor]]&amp;", "&amp;Competencia[[#This Row],[Ciudad]]</f>
        <v>Refugio del Lago, Guatapé (precios actualizados 2024) (booking.com), Guatapé</v>
      </c>
    </row>
    <row r="79" spans="1:7" ht="28.8" x14ac:dyDescent="0.3">
      <c r="A79" t="s">
        <v>55</v>
      </c>
      <c r="B79" s="11" t="s">
        <v>84</v>
      </c>
      <c r="C79" t="s">
        <v>96</v>
      </c>
      <c r="D79" t="str">
        <f>+Competencia[[#This Row],[Competidor]]&amp;", "&amp;Competencia[[#This Row],[Ciudad]]</f>
        <v>EDYMA 
Cabaña, Guatapé</v>
      </c>
    </row>
    <row r="80" spans="1:7" ht="14.4" x14ac:dyDescent="0.3">
      <c r="A80" t="s">
        <v>55</v>
      </c>
      <c r="B80" s="10" t="s">
        <v>69</v>
      </c>
      <c r="C80" t="s">
        <v>98</v>
      </c>
      <c r="D80" t="str">
        <f>+Competencia[[#This Row],[Competidor]]&amp;", "&amp;Competencia[[#This Row],[Ciudad]]</f>
        <v>Suite Gold Rocks Glamping, El Peñol (precios actualizados 2024) (booking.com), El peñol</v>
      </c>
    </row>
    <row r="81" spans="1:4" ht="14.4" x14ac:dyDescent="0.3">
      <c r="A81" t="s">
        <v>55</v>
      </c>
      <c r="B81" s="10" t="s">
        <v>70</v>
      </c>
      <c r="C81" t="s">
        <v>96</v>
      </c>
      <c r="D81" t="str">
        <f>+Competencia[[#This Row],[Competidor]]&amp;", "&amp;Competencia[[#This Row],[Ciudad]]</f>
        <v>Eco Lodge Glamping, Guatapé (precios actualizados 2024) (booking.com), Guatapé</v>
      </c>
    </row>
    <row r="82" spans="1:4" ht="14.4" x14ac:dyDescent="0.3">
      <c r="A82" t="s">
        <v>55</v>
      </c>
      <c r="B82" s="10" t="s">
        <v>71</v>
      </c>
      <c r="C82" t="s">
        <v>96</v>
      </c>
      <c r="D82" t="str">
        <f>+Competencia[[#This Row],[Competidor]]&amp;", "&amp;Competencia[[#This Row],[Ciudad]]</f>
        <v>Glamping Montecarlo Domo Geodesico y Sauna Finlandés Guatapé, Guatapé (precios actualizados 2024) (booking.com), Guatapé</v>
      </c>
    </row>
    <row r="83" spans="1:4" ht="14.4" x14ac:dyDescent="0.3">
      <c r="A83" t="s">
        <v>55</v>
      </c>
      <c r="B83" s="10" t="s">
        <v>72</v>
      </c>
      <c r="C83" t="s">
        <v>98</v>
      </c>
      <c r="D83" t="str">
        <f>+Competencia[[#This Row],[Competidor]]&amp;", "&amp;Competencia[[#This Row],[Ciudad]]</f>
        <v>Finca 3 - Dakeva, El Peñol (precios actualizados 2024) (booking.com), El peñol</v>
      </c>
    </row>
    <row r="84" spans="1:4" ht="14.4" x14ac:dyDescent="0.3">
      <c r="A84" t="s">
        <v>83</v>
      </c>
      <c r="B84" s="11" t="s">
        <v>73</v>
      </c>
      <c r="C84" t="s">
        <v>98</v>
      </c>
      <c r="D84" t="str">
        <f>+Competencia[[#This Row],[Competidor]]&amp;", "&amp;Competencia[[#This Row],[Ciudad]]</f>
        <v>Casa Encuentro by Haus, El peñol</v>
      </c>
    </row>
    <row r="85" spans="1:4" ht="14.4" x14ac:dyDescent="0.3">
      <c r="A85" t="s">
        <v>83</v>
      </c>
      <c r="B85" s="11" t="s">
        <v>74</v>
      </c>
      <c r="C85" t="str">
        <f>+INDEX(Cliente[Ciudad],MATCH(Competencia[[#This Row],[Hotel]],Cliente[Hotel],0),1)</f>
        <v>EL PEÑOL, GUATAPÉ</v>
      </c>
      <c r="D85" t="str">
        <f>+Competencia[[#This Row],[Competidor]]&amp;", "&amp;Competencia[[#This Row],[Ciudad]]</f>
        <v>El espume de San Juan By JR, EL PEÑOL, GUATAPÉ</v>
      </c>
    </row>
    <row r="86" spans="1:4" ht="14.4" x14ac:dyDescent="0.3">
      <c r="A86" t="s">
        <v>83</v>
      </c>
      <c r="B86" s="11" t="s">
        <v>75</v>
      </c>
      <c r="C86" t="s">
        <v>97</v>
      </c>
      <c r="D86" t="str">
        <f>+Competencia[[#This Row],[Competidor]]&amp;", "&amp;Competencia[[#This Row],[Ciudad]]</f>
        <v xml:space="preserve">Finca las 3 marias, El peñol </v>
      </c>
    </row>
    <row r="87" spans="1:4" ht="14.4" x14ac:dyDescent="0.3">
      <c r="A87" t="s">
        <v>83</v>
      </c>
      <c r="B87" s="11" t="s">
        <v>76</v>
      </c>
      <c r="C87" t="s">
        <v>98</v>
      </c>
      <c r="D87" t="str">
        <f>+Competencia[[#This Row],[Competidor]]&amp;", "&amp;Competencia[[#This Row],[Ciudad]]</f>
        <v>Finca Alejandria, El peñol</v>
      </c>
    </row>
    <row r="88" spans="1:4" ht="14.4" x14ac:dyDescent="0.3">
      <c r="A88" t="s">
        <v>83</v>
      </c>
      <c r="B88" s="11" t="s">
        <v>77</v>
      </c>
      <c r="C88" t="s">
        <v>98</v>
      </c>
      <c r="D88" t="str">
        <f>+Competencia[[#This Row],[Competidor]]&amp;", "&amp;Competencia[[#This Row],[Ciudad]]</f>
        <v>Villa Aldebaran, El peñol</v>
      </c>
    </row>
    <row r="89" spans="1:4" ht="14.4" x14ac:dyDescent="0.3">
      <c r="A89" t="s">
        <v>83</v>
      </c>
      <c r="B89" s="11" t="s">
        <v>78</v>
      </c>
      <c r="C89" t="s">
        <v>98</v>
      </c>
      <c r="D89" t="str">
        <f>+Competencia[[#This Row],[Competidor]]&amp;", "&amp;Competencia[[#This Row],[Ciudad]]</f>
        <v>Finca villa maru, El peñol</v>
      </c>
    </row>
    <row r="90" spans="1:4" ht="28.8" x14ac:dyDescent="0.3">
      <c r="A90" t="s">
        <v>83</v>
      </c>
      <c r="B90" s="11" t="s">
        <v>79</v>
      </c>
      <c r="C90" t="s">
        <v>96</v>
      </c>
      <c r="D90" t="str">
        <f>+Competencia[[#This Row],[Competidor]]&amp;", "&amp;Competencia[[#This Row],[Ciudad]]</f>
        <v>Hermosa Casa de campo el peñol Gutape, Guatapé</v>
      </c>
    </row>
    <row r="91" spans="1:4" ht="28.8" x14ac:dyDescent="0.3">
      <c r="A91" t="s">
        <v>83</v>
      </c>
      <c r="B91" s="11" t="s">
        <v>80</v>
      </c>
      <c r="C91" t="s">
        <v>96</v>
      </c>
      <c r="D91" t="str">
        <f>+Competencia[[#This Row],[Competidor]]&amp;", "&amp;Competencia[[#This Row],[Ciudad]]</f>
        <v>Finca-Hotel Montecarlo
Guatape by Hope, Guatapé</v>
      </c>
    </row>
    <row r="92" spans="1:4" ht="14.4" x14ac:dyDescent="0.3">
      <c r="A92" t="s">
        <v>83</v>
      </c>
      <c r="B92" s="11" t="s">
        <v>81</v>
      </c>
      <c r="C92" t="s">
        <v>98</v>
      </c>
      <c r="D92" t="str">
        <f>+Competencia[[#This Row],[Competidor]]&amp;", "&amp;Competencia[[#This Row],[Ciudad]]</f>
        <v>Finca villa sofia, El peñol</v>
      </c>
    </row>
    <row r="93" spans="1:4" ht="14.4" x14ac:dyDescent="0.3">
      <c r="A93" t="s">
        <v>83</v>
      </c>
      <c r="B93" s="11" t="s">
        <v>82</v>
      </c>
      <c r="C93" t="s">
        <v>96</v>
      </c>
      <c r="D93" t="str">
        <f>+Competencia[[#This Row],[Competidor]]&amp;", "&amp;Competencia[[#This Row],[Ciudad]]</f>
        <v>Finca Maica, Guatapé</v>
      </c>
    </row>
    <row r="94" spans="1:4" ht="14.4" x14ac:dyDescent="0.3">
      <c r="A94" t="s">
        <v>88</v>
      </c>
      <c r="B94" s="8" t="s">
        <v>101</v>
      </c>
      <c r="C94" t="s">
        <v>96</v>
      </c>
      <c r="D94" t="str">
        <f>+Competencia[[#This Row],[Competidor]]&amp;", "&amp;Competencia[[#This Row],[Ciudad]]</f>
        <v>Cabaña el mirador azul, Guatapé</v>
      </c>
    </row>
    <row r="95" spans="1:4" ht="14.4" x14ac:dyDescent="0.3">
      <c r="A95" t="s">
        <v>88</v>
      </c>
      <c r="B95" s="11" t="s">
        <v>77</v>
      </c>
      <c r="C95" t="s">
        <v>98</v>
      </c>
      <c r="D95" t="str">
        <f>+Competencia[[#This Row],[Competidor]]&amp;", "&amp;Competencia[[#This Row],[Ciudad]]</f>
        <v>Villa Aldebaran, El peñol</v>
      </c>
    </row>
    <row r="96" spans="1:4" ht="28.8" x14ac:dyDescent="0.3">
      <c r="A96" t="s">
        <v>88</v>
      </c>
      <c r="B96" s="11" t="s">
        <v>84</v>
      </c>
      <c r="C96" t="s">
        <v>96</v>
      </c>
      <c r="D96" t="str">
        <f>+Competencia[[#This Row],[Competidor]]&amp;", "&amp;Competencia[[#This Row],[Ciudad]]</f>
        <v>EDYMA 
Cabaña, Guatapé</v>
      </c>
    </row>
    <row r="97" spans="1:4" ht="14.4" x14ac:dyDescent="0.3">
      <c r="A97" t="s">
        <v>88</v>
      </c>
      <c r="B97" s="11" t="s">
        <v>100</v>
      </c>
      <c r="C97" t="s">
        <v>96</v>
      </c>
      <c r="D97" t="str">
        <f>+Competencia[[#This Row],[Competidor]]&amp;", "&amp;Competencia[[#This Row],[Ciudad]]</f>
        <v>Finca 1- Dakeva, Guatapé</v>
      </c>
    </row>
    <row r="98" spans="1:4" ht="14.4" x14ac:dyDescent="0.3">
      <c r="A98" t="s">
        <v>88</v>
      </c>
      <c r="B98" s="11" t="s">
        <v>85</v>
      </c>
      <c r="C98" t="s">
        <v>98</v>
      </c>
      <c r="D98" t="str">
        <f>+Competencia[[#This Row],[Competidor]]&amp;", "&amp;Competencia[[#This Row],[Ciudad]]</f>
        <v>Finca Carmela, El peñol</v>
      </c>
    </row>
    <row r="99" spans="1:4" ht="14.4" x14ac:dyDescent="0.3">
      <c r="A99" t="s">
        <v>88</v>
      </c>
      <c r="B99" s="11" t="s">
        <v>86</v>
      </c>
      <c r="C99" t="s">
        <v>98</v>
      </c>
      <c r="D99" t="str">
        <f>+Competencia[[#This Row],[Competidor]]&amp;", "&amp;Competencia[[#This Row],[Ciudad]]</f>
        <v>Villa Lisboa, El peñol</v>
      </c>
    </row>
    <row r="100" spans="1:4" ht="28.8" x14ac:dyDescent="0.3">
      <c r="A100" t="s">
        <v>88</v>
      </c>
      <c r="B100" s="11" t="s">
        <v>87</v>
      </c>
      <c r="C100" t="s">
        <v>98</v>
      </c>
      <c r="D100" t="str">
        <f>+Competencia[[#This Row],[Competidor]]&amp;", "&amp;Competencia[[#This Row],[Ciudad]]</f>
        <v>Cabaña 
La Heliconia, El peñol</v>
      </c>
    </row>
    <row r="101" spans="1:4" ht="28.8" x14ac:dyDescent="0.3">
      <c r="A101" t="s">
        <v>88</v>
      </c>
      <c r="B101" s="2" t="s">
        <v>102</v>
      </c>
      <c r="C101" t="s">
        <v>98</v>
      </c>
      <c r="D101" t="str">
        <f>+Competencia[[#This Row],[Competidor]]&amp;", "&amp;Competencia[[#This Row],[Ciudad]]</f>
        <v>Espectacular Cabaña Loft en Guatape - Jacuzzi, El peñol</v>
      </c>
    </row>
    <row r="102" spans="1:4" ht="14.4" x14ac:dyDescent="0.3">
      <c r="A102" t="s">
        <v>91</v>
      </c>
      <c r="B102" s="11" t="s">
        <v>77</v>
      </c>
      <c r="C102" t="s">
        <v>98</v>
      </c>
      <c r="D102" t="str">
        <f>+Competencia[[#This Row],[Competidor]]&amp;", "&amp;Competencia[[#This Row],[Ciudad]]</f>
        <v>Villa Aldebaran, El peñol</v>
      </c>
    </row>
    <row r="103" spans="1:4" ht="14.4" x14ac:dyDescent="0.3">
      <c r="A103" t="s">
        <v>91</v>
      </c>
      <c r="B103" s="11" t="s">
        <v>100</v>
      </c>
      <c r="C103" t="s">
        <v>96</v>
      </c>
      <c r="D103" t="str">
        <f>+Competencia[[#This Row],[Competidor]]&amp;", "&amp;Competencia[[#This Row],[Ciudad]]</f>
        <v>Finca 1- Dakeva, Guatapé</v>
      </c>
    </row>
    <row r="104" spans="1:4" ht="28.8" x14ac:dyDescent="0.3">
      <c r="A104" t="s">
        <v>91</v>
      </c>
      <c r="B104" s="11" t="s">
        <v>89</v>
      </c>
      <c r="C104" t="s">
        <v>96</v>
      </c>
      <c r="D104" t="str">
        <f>+Competencia[[#This Row],[Competidor]]&amp;", "&amp;Competencia[[#This Row],[Ciudad]]</f>
        <v>EDYMA 
Cabaña con jacuzzi, Guatapé</v>
      </c>
    </row>
    <row r="105" spans="1:4" ht="14.4" x14ac:dyDescent="0.3">
      <c r="A105" t="s">
        <v>91</v>
      </c>
      <c r="B105" s="11" t="s">
        <v>85</v>
      </c>
      <c r="C105" t="s">
        <v>98</v>
      </c>
      <c r="D105" t="str">
        <f>+Competencia[[#This Row],[Competidor]]&amp;", "&amp;Competencia[[#This Row],[Ciudad]]</f>
        <v>Finca Carmela, El peñol</v>
      </c>
    </row>
    <row r="106" spans="1:4" ht="14.4" x14ac:dyDescent="0.3">
      <c r="A106" t="s">
        <v>91</v>
      </c>
      <c r="B106" s="11" t="s">
        <v>90</v>
      </c>
      <c r="C106" t="s">
        <v>98</v>
      </c>
      <c r="D106" t="str">
        <f>+Competencia[[#This Row],[Competidor]]&amp;", "&amp;Competencia[[#This Row],[Ciudad]]</f>
        <v>Loge Cabaña peñol-Guatape, El peñol</v>
      </c>
    </row>
    <row r="107" spans="1:4" ht="14.4" x14ac:dyDescent="0.3">
      <c r="A107" t="s">
        <v>115</v>
      </c>
      <c r="B107" s="2" t="s">
        <v>29</v>
      </c>
      <c r="C107" t="s">
        <v>7</v>
      </c>
      <c r="D107" t="str">
        <f>+Competencia[[#This Row],[Competidor]]&amp;", "&amp;Competencia[[#This Row],[Ciudad]]</f>
        <v>Vivanti Resort, GUATAPÉ</v>
      </c>
    </row>
    <row r="108" spans="1:4" ht="14.4" x14ac:dyDescent="0.3">
      <c r="A108" t="s">
        <v>115</v>
      </c>
      <c r="B108" s="2" t="s">
        <v>41</v>
      </c>
      <c r="C108" t="s">
        <v>96</v>
      </c>
      <c r="D108" t="str">
        <f>+Competencia[[#This Row],[Competidor]]&amp;", "&amp;Competencia[[#This Row],[Ciudad]]</f>
        <v>1714 Hotel Boutique Guatapé, Guatapé</v>
      </c>
    </row>
    <row r="109" spans="1:4" ht="14.4" x14ac:dyDescent="0.3">
      <c r="A109" t="s">
        <v>115</v>
      </c>
      <c r="B109" s="2" t="s">
        <v>30</v>
      </c>
      <c r="C109" t="str">
        <f>+INDEX(Cliente[Ciudad],MATCH(Competencia[[#This Row],[Hotel]],Cliente[Hotel],0),1)</f>
        <v>EL PEÑOL</v>
      </c>
      <c r="D109" t="str">
        <f>+Competencia[[#This Row],[Competidor]]&amp;", "&amp;Competencia[[#This Row],[Ciudad]]</f>
        <v>Hotel La Magdalena Adult Only, EL PEÑOL</v>
      </c>
    </row>
    <row r="110" spans="1:4" ht="14.4" x14ac:dyDescent="0.3">
      <c r="A110" t="s">
        <v>115</v>
      </c>
      <c r="B110" s="2" t="s">
        <v>112</v>
      </c>
      <c r="C110" t="s">
        <v>114</v>
      </c>
      <c r="D110" t="str">
        <f>+Competencia[[#This Row],[Competidor]]&amp;", "&amp;Competencia[[#This Row],[Ciudad]]</f>
        <v>Rooca Guatape, Guatape</v>
      </c>
    </row>
    <row r="111" spans="1:4" ht="14.4" x14ac:dyDescent="0.3">
      <c r="A111" t="s">
        <v>115</v>
      </c>
      <c r="B111" s="2" t="s">
        <v>113</v>
      </c>
      <c r="C111" t="s">
        <v>96</v>
      </c>
      <c r="D111" t="str">
        <f>+Competencia[[#This Row],[Competidor]]&amp;", "&amp;Competencia[[#This Row],[Ciudad]]</f>
        <v>Hotel Santorini, Guatapé</v>
      </c>
    </row>
    <row r="112" spans="1:4" ht="14.4" x14ac:dyDescent="0.3">
      <c r="A112" t="s">
        <v>115</v>
      </c>
      <c r="B112" s="7" t="s">
        <v>31</v>
      </c>
      <c r="C112" t="s">
        <v>114</v>
      </c>
      <c r="D112" t="str">
        <f>+Competencia[[#This Row],[Competidor]]&amp;", "&amp;Competencia[[#This Row],[Ciudad]]</f>
        <v>Hotel Mansión Guatapé, Guatape</v>
      </c>
    </row>
    <row r="113" spans="1:4" ht="14.4" x14ac:dyDescent="0.3">
      <c r="A113" t="s">
        <v>116</v>
      </c>
      <c r="B113" s="2" t="s">
        <v>117</v>
      </c>
      <c r="C113" t="s">
        <v>96</v>
      </c>
      <c r="D113" t="str">
        <f>+Competencia[[#This Row],[Competidor]]&amp;", "&amp;Competencia[[#This Row],[Ciudad]]</f>
        <v>Marina Navegar- El peñol, Guatape, Guatapé</v>
      </c>
    </row>
    <row r="114" spans="1:4" ht="14.4" x14ac:dyDescent="0.3">
      <c r="A114" t="s">
        <v>116</v>
      </c>
      <c r="B114" s="2" t="s">
        <v>56</v>
      </c>
      <c r="C114" t="s">
        <v>7</v>
      </c>
      <c r="D114" t="str">
        <f>+Competencia[[#This Row],[Competidor]]&amp;", "&amp;Competencia[[#This Row],[Ciudad]]</f>
        <v>Jordan Hotel Boutique, GUATAPÉ</v>
      </c>
    </row>
    <row r="115" spans="1:4" ht="14.4" x14ac:dyDescent="0.3">
      <c r="A115" t="s">
        <v>116</v>
      </c>
      <c r="B115" s="10" t="s">
        <v>65</v>
      </c>
      <c r="C115" t="s">
        <v>96</v>
      </c>
      <c r="D115" t="str">
        <f>+Competencia[[#This Row],[Competidor]]&amp;", "&amp;Competencia[[#This Row],[Ciudad]]</f>
        <v>San Simon Glamping,El peñol,Guatape, Guatapé (precios actualizados 2024) (booking.com), Guatapé</v>
      </c>
    </row>
    <row r="116" spans="1:4" ht="14.4" x14ac:dyDescent="0.3">
      <c r="A116" t="s">
        <v>116</v>
      </c>
      <c r="B116" s="8" t="s">
        <v>52</v>
      </c>
      <c r="C116" t="s">
        <v>98</v>
      </c>
      <c r="D116" t="str">
        <f>+Competencia[[#This Row],[Competidor]]&amp;", "&amp;Competencia[[#This Row],[Ciudad]]</f>
        <v>Magic View El peñol, Guatapé, El peñol</v>
      </c>
    </row>
    <row r="117" spans="1:4" ht="14.4" x14ac:dyDescent="0.3">
      <c r="A117" t="s">
        <v>116</v>
      </c>
      <c r="B117" s="2" t="s">
        <v>19</v>
      </c>
      <c r="C117" t="s">
        <v>98</v>
      </c>
      <c r="D117" t="str">
        <f>+Competencia[[#This Row],[Competidor]]&amp;", "&amp;Competencia[[#This Row],[Ciudad]]</f>
        <v>The Boato Hotel, El peñol</v>
      </c>
    </row>
    <row r="118" spans="1:4" ht="14.4" x14ac:dyDescent="0.3">
      <c r="A118" t="s">
        <v>118</v>
      </c>
      <c r="B118" s="2" t="s">
        <v>119</v>
      </c>
      <c r="C118" t="str">
        <f>+INDEX(Cliente[Ciudad],MATCH(Competencia[[#This Row],[Hotel]],Cliente[Hotel],0),1)</f>
        <v>Pereira</v>
      </c>
      <c r="D118" t="str">
        <f>+Competencia[[#This Row],[Competidor]]&amp;", "&amp;Competencia[[#This Row],[Ciudad]]</f>
        <v>Bayit Tov Circunvalar Hotel, Pereira</v>
      </c>
    </row>
    <row r="119" spans="1:4" ht="14.4" x14ac:dyDescent="0.3">
      <c r="A119" t="s">
        <v>118</v>
      </c>
      <c r="B119" s="2" t="s">
        <v>120</v>
      </c>
      <c r="C119" t="str">
        <f>+INDEX(Cliente[Ciudad],MATCH(Competencia[[#This Row],[Hotel]],Cliente[Hotel],0),1)</f>
        <v>Pereira</v>
      </c>
      <c r="D119" t="str">
        <f>+Competencia[[#This Row],[Competidor]]&amp;", "&amp;Competencia[[#This Row],[Ciudad]]</f>
        <v>Zi One Luxury Hotel, Pereira</v>
      </c>
    </row>
    <row r="120" spans="1:4" ht="14.4" x14ac:dyDescent="0.3">
      <c r="A120" t="s">
        <v>118</v>
      </c>
      <c r="B120" s="12" t="s">
        <v>121</v>
      </c>
      <c r="C120" t="str">
        <f>+INDEX(Cliente[Ciudad],MATCH(Competencia[[#This Row],[Hotel]],Cliente[Hotel],0),1)</f>
        <v>Pereira</v>
      </c>
      <c r="D120" t="str">
        <f>+Competencia[[#This Row],[Competidor]]&amp;", "&amp;Competencia[[#This Row],[Ciudad]]</f>
        <v>Hotel Go Pereira, Pereira</v>
      </c>
    </row>
    <row r="121" spans="1:4" ht="14.4" x14ac:dyDescent="0.3">
      <c r="A121" t="s">
        <v>118</v>
      </c>
      <c r="B121" s="2" t="s">
        <v>122</v>
      </c>
      <c r="C121" t="str">
        <f>+INDEX(Cliente[Ciudad],MATCH(Competencia[[#This Row],[Hotel]],Cliente[Hotel],0),1)</f>
        <v>Pereira</v>
      </c>
      <c r="D121" t="str">
        <f>+Competencia[[#This Row],[Competidor]]&amp;", "&amp;Competencia[[#This Row],[Ciudad]]</f>
        <v>Santorini Apartamentos Amoblados, Pereira</v>
      </c>
    </row>
    <row r="122" spans="1:4" ht="14.4" x14ac:dyDescent="0.3">
      <c r="A122" t="s">
        <v>118</v>
      </c>
      <c r="B122" s="7" t="s">
        <v>123</v>
      </c>
      <c r="C122" t="str">
        <f>+INDEX(Cliente[Ciudad],MATCH(Competencia[[#This Row],[Hotel]],Cliente[Hotel],0),1)</f>
        <v>Pereira</v>
      </c>
      <c r="D122" t="str">
        <f>+Competencia[[#This Row],[Competidor]]&amp;", "&amp;Competencia[[#This Row],[Ciudad]]</f>
        <v>El Gran Hotel de Pereira, Pereira</v>
      </c>
    </row>
    <row r="123" spans="1:4" ht="14.4" x14ac:dyDescent="0.3">
      <c r="A123" t="s">
        <v>118</v>
      </c>
      <c r="B123" s="2" t="s">
        <v>124</v>
      </c>
      <c r="C123" t="str">
        <f>+INDEX(Cliente[Ciudad],MATCH(Competencia[[#This Row],[Hotel]],Cliente[Hotel],0),1)</f>
        <v>Pereira</v>
      </c>
      <c r="D123" t="str">
        <f>+Competencia[[#This Row],[Competidor]]&amp;", "&amp;Competencia[[#This Row],[Ciudad]]</f>
        <v>GHL Hotel Abadia Plaza, Pereira</v>
      </c>
    </row>
    <row r="124" spans="1:4" ht="14.4" x14ac:dyDescent="0.3">
      <c r="A124" t="s">
        <v>118</v>
      </c>
      <c r="B124" s="2" t="s">
        <v>125</v>
      </c>
      <c r="C124" t="str">
        <f>+INDEX(Cliente[Ciudad],MATCH(Competencia[[#This Row],[Hotel]],Cliente[Hotel],0),1)</f>
        <v>Pereira</v>
      </c>
      <c r="D124" t="str">
        <f>+Competencia[[#This Row],[Competidor]]&amp;", "&amp;Competencia[[#This Row],[Ciudad]]</f>
        <v>Luxor Plaza H&amp;S, Pereira</v>
      </c>
    </row>
    <row r="125" spans="1:4" ht="14.4" x14ac:dyDescent="0.3">
      <c r="A125" t="s">
        <v>106</v>
      </c>
      <c r="B125" s="2" t="s">
        <v>103</v>
      </c>
      <c r="C125" t="str">
        <f>+INDEX(Cliente[Ciudad],MATCH(Competencia[[#This Row],[Hotel]],Cliente[Hotel],0),1)</f>
        <v xml:space="preserve">Guatapé </v>
      </c>
      <c r="D125" t="str">
        <f>+Competencia[[#This Row],[Competidor]]&amp;", "&amp;Competencia[[#This Row],[Ciudad]]</f>
        <v xml:space="preserve">Hotel Guatatur, Guatapé </v>
      </c>
    </row>
    <row r="126" spans="1:4" ht="14.4" x14ac:dyDescent="0.3">
      <c r="A126" t="s">
        <v>106</v>
      </c>
      <c r="B126" s="2" t="s">
        <v>128</v>
      </c>
      <c r="C126" t="str">
        <f>+INDEX(Cliente[Ciudad],MATCH(Competencia[[#This Row],[Hotel]],Cliente[Hotel],0),1)</f>
        <v xml:space="preserve">Guatapé </v>
      </c>
      <c r="D126" t="str">
        <f>+Competencia[[#This Row],[Competidor]]&amp;", "&amp;Competencia[[#This Row],[Ciudad]]</f>
        <v xml:space="preserve">Hotel Real Guatapé, Guatapé </v>
      </c>
    </row>
    <row r="127" spans="1:4" ht="14.4" x14ac:dyDescent="0.3">
      <c r="A127" t="s">
        <v>106</v>
      </c>
      <c r="B127" s="13" t="s">
        <v>129</v>
      </c>
      <c r="C127" t="str">
        <f>+INDEX(Cliente[Ciudad],MATCH(Competencia[[#This Row],[Hotel]],Cliente[Hotel],0),1)</f>
        <v xml:space="preserve">Guatapé </v>
      </c>
      <c r="D127" t="str">
        <f>+Competencia[[#This Row],[Competidor]]&amp;", "&amp;Competencia[[#This Row],[Ciudad]]</f>
        <v xml:space="preserve">Hotel Chromatic, Guatapé </v>
      </c>
    </row>
    <row r="128" spans="1:4" ht="14.4" x14ac:dyDescent="0.3">
      <c r="A128" t="s">
        <v>106</v>
      </c>
      <c r="B128" s="8" t="s">
        <v>130</v>
      </c>
      <c r="C128" t="str">
        <f>+INDEX(Cliente[Ciudad],MATCH(Competencia[[#This Row],[Hotel]],Cliente[Hotel],0),1)</f>
        <v xml:space="preserve">Guatapé </v>
      </c>
      <c r="D128" t="str">
        <f>+Competencia[[#This Row],[Competidor]]&amp;", "&amp;Competencia[[#This Row],[Ciudad]]</f>
        <v xml:space="preserve">Hotel Portal Guatapé, Guatapé </v>
      </c>
    </row>
    <row r="129" spans="1:4" ht="14.4" x14ac:dyDescent="0.3">
      <c r="A129" t="s">
        <v>106</v>
      </c>
      <c r="B129" s="8" t="s">
        <v>60</v>
      </c>
      <c r="C129" t="str">
        <f>+INDEX(Cliente[Ciudad],MATCH(Competencia[[#This Row],[Hotel]],Cliente[Hotel],0),1)</f>
        <v xml:space="preserve">Guatapé </v>
      </c>
      <c r="D129" t="str">
        <f>+Competencia[[#This Row],[Competidor]]&amp;", "&amp;Competencia[[#This Row],[Ciudad]]</f>
        <v xml:space="preserve">Hotel Las Vegas, Guatapé </v>
      </c>
    </row>
  </sheetData>
  <phoneticPr fontId="3" type="noConversion"/>
  <conditionalFormatting sqref="B107">
    <cfRule type="duplicateValues" dxfId="12" priority="3"/>
  </conditionalFormatting>
  <conditionalFormatting sqref="B109">
    <cfRule type="duplicateValues" dxfId="11" priority="2"/>
  </conditionalFormatting>
  <conditionalFormatting sqref="B116">
    <cfRule type="duplicateValues" dxfId="10" priority="1"/>
  </conditionalFormatting>
  <conditionalFormatting sqref="B130:B1048576 B67 B1:B39 B61 B63:B64 B73:B74 B69 B112 B41:B53 B117">
    <cfRule type="duplicateValues" dxfId="9" priority="5"/>
  </conditionalFormatting>
  <dataValidations count="1">
    <dataValidation type="list" allowBlank="1" showInputMessage="1" showErrorMessage="1" sqref="B62 B56 A2:A129" xr:uid="{11E980CC-9E44-40A6-A003-29402607D18D}">
      <formula1>Clientes</formula1>
    </dataValidation>
  </dataValidations>
  <hyperlinks>
    <hyperlink ref="B19" r:id="rId1" location="no_availability_msg" display="https://www.booking.com/hotel/co/the-boato-el-penol1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6718999&amp;dest_type=hotel&amp;group_adults=2&amp;req_adults=2&amp;no_rooms=1&amp;group_children=0&amp;req_children=0&amp;hpos=1&amp;hapos=1&amp;sr_order=popularity&amp;srpvid=d59694989193006b&amp;srepoch=1731100085&amp;soh=1&amp;from_sustainable_property_sr=1&amp;from=searchresults - no_availability_msg" xr:uid="{F3080E24-F808-4D7E-AE57-0DB675F56AFC}"/>
    <hyperlink ref="B17" r:id="rId2" display="https://www.booking.com/hotel/co/luxe-by-the-charle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3306648&amp;dest_type=hotel&amp;group_adults=2&amp;req_adults=2&amp;no_rooms=1&amp;group_children=0&amp;req_children=0&amp;hpos=1&amp;hapos=1&amp;sr_order=popularity&amp;srpvid=577c94a5323a0404&amp;srepoch=1731100111&amp;all_sr_blocks=330664806_115546006_2_1_0&amp;highlighted_blocks=330664806_115546006_2_1_0&amp;matching_block_id=330664806_115546006_2_1_0&amp;sr_pri_blocks=330664806_115546006_2_1_0__329947200&amp;from=searchresults" xr:uid="{DC4B228A-DCEF-4627-9563-0911ADBD8ACB}"/>
    <hyperlink ref="B18" r:id="rId3" display="https://www.booking.com/hotel/co/tau-hous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8258154&amp;dest_type=hotel&amp;group_adults=2&amp;req_adults=2&amp;no_rooms=1&amp;group_children=0&amp;req_children=0&amp;hpos=1&amp;hapos=1&amp;sr_order=popularity&amp;srpvid=b32a94b138660740&amp;srepoch=1731100143&amp;all_sr_blocks=825815404_347032334_2_1_0&amp;highlighted_blocks=825815404_347032334_2_1_0&amp;matching_block_id=825815404_347032334_2_1_0&amp;sr_pri_blocks=825815404_347032334_2_1_0__625117500&amp;from_sustainable_property_sr=1&amp;from=searchresults" xr:uid="{BDFADE17-ACFC-49FB-9CDC-9ADF7766E14B}"/>
    <hyperlink ref="B15" r:id="rId4" display="https://www.booking.com/hotel/co/la-pausa-hotelbistro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9224515&amp;dest_type=hotel&amp;group_adults=2&amp;req_adults=2&amp;no_rooms=1&amp;group_children=0&amp;req_children=0&amp;hpos=1&amp;hapos=1&amp;sr_order=popularity&amp;srpvid=93d094c5851502f1&amp;srepoch=1731100176&amp;all_sr_blocks=922451501_403210579_2_41_0&amp;highlighted_blocks=922451501_403210579_2_41_0&amp;matching_block_id=922451501_403210579_2_41_0&amp;sr_pri_blocks=922451501_403210579_2_41_0__436995000&amp;from_sustainable_property_sr=1&amp;from=searchresults" xr:uid="{EA3F8028-0B05-491B-A628-1230B4C08906}"/>
    <hyperlink ref="B14" r:id="rId5" display="https://www.booking.com/hotel/co/ibuku-guatap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8666201&amp;dest_type=hotel&amp;group_adults=2&amp;req_adults=2&amp;no_rooms=1&amp;group_children=0&amp;req_children=0&amp;hpos=1&amp;hapos=1&amp;sr_order=popularity&amp;srpvid=725b94cfc2a101e9&amp;srepoch=1731100194&amp;all_sr_blocks=866620108_388715139_3_41_0&amp;highlighted_blocks=866620108_388715139_3_41_0&amp;matching_block_id=866620108_388715139_3_41_0&amp;sr_pri_blocks=866620108_388715139_3_41_0__353971053&amp;from_sustainable_property_sr=1&amp;from=searchresults" xr:uid="{E0DAD246-32D2-4FD9-9DFC-B6EAA846FFCE}"/>
    <hyperlink ref="B9" r:id="rId6" display="https://www.booking.com/hotel/co/atma-eco-villag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6461982&amp;dest_type=hotel&amp;group_adults=2&amp;req_adults=2&amp;no_rooms=1&amp;group_children=0&amp;req_children=0&amp;hpos=1&amp;hapos=1&amp;sr_order=popularity&amp;srpvid=e03394ed3cee05a6&amp;srepoch=1731100256&amp;all_sr_blocks=646198208_265527266_2_1_0&amp;highlighted_blocks=646198208_265527266_2_1_0&amp;matching_block_id=646198208_265527266_2_1_0&amp;sr_pri_blocks=646198208_265527266_2_1_0__423007200&amp;from_sustainable_property_sr=1&amp;from=searchresults" xr:uid="{8F7D60D0-C629-4015-BA64-9A7EFDE70494}"/>
    <hyperlink ref="B11" r:id="rId7" display="https://www.booking.com/hotel/co/bosko-guatap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3879424&amp;dest_type=hotel&amp;group_adults=2&amp;req_adults=2&amp;no_rooms=1&amp;group_children=0&amp;req_children=0&amp;hpos=1&amp;hapos=1&amp;sr_order=popularity&amp;srpvid=661c94dde56f0077&amp;srepoch=1731100222&amp;all_sr_blocks=387942403_391842383_0_1_0_389191&amp;highlighted_blocks=387942403_391842383_0_1_0_389191&amp;matching_block_id=387942403_391842383_0_1_0_389191&amp;sr_pri_blocks=387942403_391842383_0_1_0_389191_708750000&amp;from_sustainable_property_sr=1&amp;from=searchresults" xr:uid="{91B12B08-50F5-428E-9318-60DE947A580C}"/>
    <hyperlink ref="B16" r:id="rId8" location="no_availability_msg" display="https://www.booking.com/hotel/co/levit-guatap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3167955&amp;dest_type=hotel&amp;group_adults=2&amp;req_adults=2&amp;no_rooms=1&amp;group_children=0&amp;req_children=0&amp;hpos=1&amp;hapos=1&amp;sr_order=popularity&amp;srpvid=525294f44ce60f4a&amp;srepoch=1731100269&amp;soh=1&amp;from_sustainable_property_sr=1&amp;from=searchresults - no_availability_msg" xr:uid="{02975DB4-69B3-402F-B5B1-5FEE7CA5F957}"/>
    <hyperlink ref="B13" r:id="rId9" display="https://www.booking.com/hotel/co/glamping-the-mountain.es.html?label=gen173nr-1BCAEoggI46AdIM1gEaDKIAQGYAQq4ARfIARXYAQHoAQGIAgGoAgO4Auv6ubkGwAIB0gIkNDIxYWRlNzgtZGMxNy00ZTRiLWI1OTctZWE2NjQ2MGNiNGE52AIF4AIB&amp;sid=4b0d2a11a7f716ea1fbbcbbef9dba78d&amp;aid=304142&amp;ucfs=1&amp;arphpl=1&amp;checkin=2024-11-22&amp;checkout=2024-11-30&amp;dest_id=8570511&amp;dest_type=hotel&amp;group_adults=2&amp;req_adults=2&amp;no_rooms=1&amp;group_children=0&amp;req_children=0&amp;hpos=1&amp;hapos=1&amp;sr_order=popularity&amp;srpvid=bd40951557cc0237&amp;srepoch=1731100334&amp;all_sr_blocks=857051102_373211362_0_1_0&amp;highlighted_blocks=857051102_373211362_0_1_0&amp;matching_block_id=857051102_373211362_0_1_0&amp;sr_pri_blocks=857051102_373211362_0_1_0__388800000&amp;from_sustainable_property_sr=1&amp;from=searchresults" xr:uid="{4334FD58-2B38-463B-A1F7-F943EF631F00}"/>
    <hyperlink ref="B12" r:id="rId10" location="no_availability_msg" display="https://www.booking.com/hotel/co/bubblesky-glamping-guatape-guatape1.es.html?label=gen173nr-1BCAEoggI46AdIM1gEaDKIAQGYAQq4ARfIARXYAQHoAQGIAgGoAgO4Auv6ubkGwAIB0gIkNDIxYWRlNzgtZGMxNy00ZTRiLWI1OTctZWE2NjQ2MGNiNGE52AIF4AIB&amp;sid=4b0d2a11a7f716ea1fbbcbbef9dba78d&amp;aid=304142&amp;ucfs=1&amp;arphpl=1&amp;checkin=2024-11-22&amp;checkout=2024-11-30&amp;group_adults=2&amp;req_adults=2&amp;no_rooms=1&amp;group_children=0&amp;req_children=0&amp;hpos=1&amp;hapos=1&amp;sr_order=popularity&amp;srpvid=53ad9524e2f200ec&amp;srepoch=1731100365&amp;soh=1&amp;from_sustainable_property_sr=1&amp;from=searchresults - no_availability_msg" xr:uid="{E827A1FD-F01F-4A75-AF55-B958A8B7F726}"/>
    <hyperlink ref="B10" r:id="rId11" location="no_availability_msg" display="https://www.booking.com/hotel/co/bethel-lozana-guatape.es.html?label=gen173nr-1FCAEoggI46AdIM1gEaDKIAQGYAQq4ARfIARXYAQHoAQH4AQOIAgGoAgO4Auv6ubkGwAIB0gIkNDIxYWRlNzgtZGMxNy00ZTRiLWI1OTctZWE2NjQ2MGNiNGE52AIG4AIB&amp;aid=304142&amp;ucfs=1&amp;arphpl=1&amp;checkin=2024-11-22&amp;checkout=2024-11-30&amp;dest_id=9219716&amp;dest_type=hotel&amp;group_adults=2&amp;req_adults=2&amp;no_rooms=1&amp;group_children=0&amp;req_children=0&amp;hpos=1&amp;hapos=1&amp;sr_order=popularity&amp;srpvid=4817953215180229&amp;srepoch=1731100393&amp;soh=1&amp;from_sustainable_property_sr=1&amp;from=searchresults - no_availability_msg" xr:uid="{221D2593-BA81-43BF-96D6-5A000562C72B}"/>
    <hyperlink ref="B2" r:id="rId12" display="https://www.booking.com/hotel/co/arvum-boutique.es.html?label=gen173nr-1FCAEoggI46AdIM1gEaDKIAQGYAQq4ARfIARXYAQHoAQH4AQOIAgGoAgO4Auv6ubkGwAIB0gIkNDIxYWRlNzgtZGMxNy00ZTRiLWI1OTctZWE2NjQ2MGNiNGE52AIG4AIB&amp;aid=304142&amp;ucfs=1&amp;arphpl=1&amp;checkin=2024-11-22&amp;checkout=2024-11-30&amp;dest_id=9108472&amp;dest_type=hotel&amp;group_adults=2&amp;req_adults=2&amp;no_rooms=1&amp;group_children=0&amp;req_children=0&amp;hpos=1&amp;hapos=1&amp;sr_order=popularity&amp;srpvid=c9c2957d3a9f0ab7&amp;srepoch=1731100543&amp;all_sr_blocks=910847208_403437473_2_1_0&amp;highlighted_blocks=910847208_403437473_2_1_0&amp;matching_block_id=910847208_403437473_2_1_0&amp;sr_pri_blocks=910847208_403437473_2_1_0__363951706&amp;from_sustainable_property_sr=1&amp;from=searchresults" xr:uid="{84F74EAF-9377-47F2-8224-9350FD9A8512}"/>
    <hyperlink ref="B8" r:id="rId13" display="https://www.booking.com/hotel/co/vivanti-resort.es.html?label=gen173nr-1FCAEoggI46AdIM1gEaDKIAQGYAQq4ARfIARXYAQHoAQH4AQOIAgGoAgO4Auv6ubkGwAIB0gIkNDIxYWRlNzgtZGMxNy00ZTRiLWI1OTctZWE2NjQ2MGNiNGE52AIG4AIB&amp;aid=304142&amp;ucfs=1&amp;arphpl=1&amp;checkin=2024-11-22&amp;checkout=2024-11-30&amp;group_adults=2&amp;req_adults=2&amp;no_rooms=1&amp;group_children=0&amp;req_children=0&amp;hpos=1&amp;hapos=1&amp;sr_order=distance_from_search&amp;srpvid=ce39959ae6b00596&amp;srepoch=1731100601&amp;all_sr_blocks=1117293807_401806153_2_1_0_372951&amp;highlighted_blocks=1117293807_401806153_2_1_0_372951&amp;matching_block_id=1117293807_401806153_2_1_0_372951&amp;sr_pri_blocks=1117293807_401806153_2_1_0_372951_434816000&amp;from_sustainable_property_sr=1&amp;from=searchresults" xr:uid="{6D8D4453-CA75-4AEA-957F-14075F3067D7}"/>
    <hyperlink ref="B7" r:id="rId14" display="https://www.booking.com/hotel/co/tau-hous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8258154&amp;dest_type=hotel&amp;group_adults=2&amp;req_adults=2&amp;no_rooms=1&amp;group_children=0&amp;req_children=0&amp;hpos=1&amp;hapos=1&amp;sr_order=popularity&amp;srpvid=b32a94b138660740&amp;srepoch=1731100143&amp;all_sr_blocks=825815404_347032334_2_1_0&amp;highlighted_blocks=825815404_347032334_2_1_0&amp;matching_block_id=825815404_347032334_2_1_0&amp;sr_pri_blocks=825815404_347032334_2_1_0__625117500&amp;from_sustainable_property_sr=1&amp;from=searchresults" xr:uid="{959637F0-A910-44EB-9D04-8860335C71B8}"/>
    <hyperlink ref="B4" r:id="rId15" display="https://www.booking.com/hotel/co/la-magdalena-santuario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2278508&amp;dest_type=hotel&amp;group_adults=2&amp;req_adults=2&amp;no_rooms=1&amp;group_children=0&amp;req_children=0&amp;hpos=1&amp;hapos=1&amp;sr_order=popularity&amp;srpvid=168b95b4972802fd&amp;srepoch=1731100653&amp;all_sr_blocks=227850807_335665585_2_1_0&amp;highlighted_blocks=227850807_335665585_2_1_0&amp;matching_block_id=227850807_335665585_2_1_0&amp;sr_pri_blocks=227850807_335665585_2_1_0__432900000&amp;from=searchresults" xr:uid="{FC6D967E-67EC-4CC6-8A0B-C8B9489E237A}"/>
    <hyperlink ref="B5" r:id="rId16" display="https://www.booking.com/hotel/co/mansion-de-oriente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2291786&amp;dest_type=hotel&amp;group_adults=2&amp;req_adults=2&amp;no_rooms=1&amp;group_children=0&amp;req_children=0&amp;hpos=1&amp;hapos=1&amp;sr_order=popularity&amp;srpvid=e98295bc625605a6&amp;srepoch=1731100669&amp;all_sr_blocks=229178609_211969538_2_41_0&amp;highlighted_blocks=229178609_211969538_2_41_0&amp;matching_block_id=229178609_211969538_2_41_0&amp;sr_pri_blocks=229178609_211969538_2_41_0__244800000&amp;from=searchresults" xr:uid="{7665CEC3-345A-4F9E-9335-956109DEFF91}"/>
    <hyperlink ref="B39" r:id="rId17" display="https://www.booking.com/hotel/co/bambu-guatape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8871595&amp;dest_type=hotel&amp;group_adults=2&amp;req_adults=2&amp;no_rooms=1&amp;group_children=0&amp;req_children=0&amp;hpos=1&amp;hapos=1&amp;sr_order=popularity&amp;srpvid=f3a395e09eb1055d&amp;srepoch=1731100740&amp;all_sr_blocks=887159510_377697257_2_2_0&amp;highlighted_blocks=887159510_377697257_2_2_0&amp;matching_block_id=887159510_377697257_2_2_0&amp;sr_pri_blocks=887159510_377697257_2_2_0__80514720&amp;from_sustainable_property_sr=1&amp;from=searchresults" xr:uid="{0B836227-06D8-4CCD-B6B0-8B6DEE631C95}"/>
    <hyperlink ref="B43" r:id="rId18" display="https://www.booking.com/hotel/co/y-restaurante-casa-lind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10640660&amp;dest_type=hotel&amp;group_adults=2&amp;req_adults=2&amp;no_rooms=1&amp;group_children=0&amp;req_children=0&amp;hpos=1&amp;hapos=1&amp;sr_order=popularity&amp;srpvid=f46095f141f803af&amp;srepoch=1731100776&amp;all_sr_blocks=1064066010_395588304_2_41_0_492398&amp;highlighted_blocks=1064066010_395588304_2_41_0_492398&amp;matching_block_id=1064066010_395588304_2_41_0_492398&amp;sr_pri_blocks=1064066010_395588304_2_41_0_492398_111755530&amp;from=searchresults" xr:uid="{0AE00764-37BB-4586-9C84-C1E0E91DBBD0}"/>
    <hyperlink ref="B48" r:id="rId19" location="no_availability_msg" display="https://www.booking.com/hotel/co/las-lomas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312034&amp;dest_type=hotel&amp;group_adults=2&amp;req_adults=2&amp;no_rooms=1&amp;group_children=0&amp;req_children=0&amp;hpos=1&amp;hapos=1&amp;sr_order=popularity&amp;srpvid=14f8960a8e2d08cd&amp;srepoch=1731100824&amp;soh=1&amp;from_sustainable_property_sr=1&amp;from=searchresults - no_availability_msg" xr:uid="{C824FF76-2EA1-4E47-8E8A-D9579F834D87}"/>
    <hyperlink ref="B37" r:id="rId20" display="https://www.booking.com/hotel/co/la-casona-de-sar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7104759&amp;dest_type=hotel&amp;group_adults=2&amp;req_adults=2&amp;no_rooms=1&amp;group_children=0&amp;req_children=0&amp;hpos=1&amp;hapos=1&amp;sr_order=popularity&amp;srpvid=b4b9964e8f5103ae&amp;srepoch=1731100960&amp;all_sr_blocks=710475904_392513211_0_1_0&amp;highlighted_blocks=710475904_392513211_0_1_0&amp;matching_block_id=710475904_392513211_0_1_0&amp;sr_pri_blocks=710475904_392513211_0_1_0__200000000&amp;from=searchresults" xr:uid="{48698528-D848-4DE3-8533-3F43D7B605E7}"/>
    <hyperlink ref="B38" r:id="rId21" display="https://www.booking.com/hotel/co/hacienda-el-placer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1072730&amp;dest_type=hotel&amp;group_adults=2&amp;req_adults=2&amp;no_rooms=1&amp;group_children=0&amp;req_children=0&amp;hpos=1&amp;hapos=1&amp;sr_order=popularity&amp;srpvid=2769965741f0039b&amp;srepoch=1731100978&amp;all_sr_blocks=107273020_348106236_0_1_0&amp;highlighted_blocks=107273020_348106236_0_1_0&amp;matching_block_id=107273020_348106236_0_1_0&amp;sr_pri_blocks=107273020_348106236_0_1_0__290160000&amp;from_sustainable_property_sr=1&amp;from=searchresults" xr:uid="{A328D514-95AD-4B2A-9E27-6AA03531A08D}"/>
    <hyperlink ref="B28" r:id="rId22" display="https://www.booking.com/hotel/co/casa-de-amigos-boutique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8373784&amp;dest_type=hotel&amp;group_adults=2&amp;req_adults=2&amp;no_rooms=1&amp;group_children=0&amp;req_children=0&amp;hpos=1&amp;hapos=1&amp;sr_order=popularity&amp;srpvid=168b965db526019b&amp;srepoch=1731100994&amp;all_sr_blocks=837378402_401335015_0_1_0&amp;highlighted_blocks=837378402_401335015_0_1_0&amp;matching_block_id=837378402_401335015_0_1_0&amp;sr_pri_blocks=837378402_401335015_0_1_0__390700800&amp;from_sustainable_property_sr=1&amp;from=searchresults" xr:uid="{A9681151-B3DE-48E2-9364-E2A302D7A49E}"/>
    <hyperlink ref="B33" r:id="rId23" location="no_availability_msg" display="https://www.booking.com/hotel/co/posada-las-trampas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401355&amp;dest_type=hotel&amp;group_adults=2&amp;req_adults=2&amp;no_rooms=1&amp;group_children=0&amp;req_children=0&amp;hpos=1&amp;hapos=1&amp;sr_order=popularity&amp;srpvid=e19c96664bd200d7&amp;srepoch=1731101008&amp;soh=1&amp;from_sustainable_property_sr=1&amp;from=searchresults - no_availability_msg" xr:uid="{BC950999-76BE-4C0E-98E2-40372DE4ED0C}"/>
    <hyperlink ref="B36" r:id="rId24" display="https://www.booking.com/hotel/co/refugio-jg-mariquit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2110708&amp;dest_type=hotel&amp;group_adults=2&amp;req_adults=2&amp;no_rooms=1&amp;group_children=0&amp;req_children=0&amp;hpos=1&amp;hapos=1&amp;sr_order=popularity&amp;srpvid=f460969d6d6f0299&amp;srepoch=1731101118&amp;all_sr_blocks=211070801_357838345_0_9_0&amp;highlighted_blocks=211070801_357838345_0_9_0&amp;matching_block_id=211070801_357838345_0_9_0&amp;sr_pri_blocks=211070801_357838345_0_9_0__176000000&amp;from=searchresults" xr:uid="{35B1052C-BD90-4F36-9932-FB44002C46E5}"/>
    <hyperlink ref="B30" r:id="rId25" display="https://www.booking.com/hotel/co/eco-glamping-shalom-mariquit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7185859&amp;dest_type=hotel&amp;group_adults=2&amp;req_adults=2&amp;no_rooms=1&amp;group_children=0&amp;req_children=0&amp;hpos=1&amp;hapos=1&amp;sr_order=popularity&amp;srpvid=525296b97cdf009a&amp;srepoch=1731101175&amp;all_sr_blocks=718585904_355958777_2_41_0&amp;highlighted_blocks=718585904_355958777_2_41_0&amp;matching_block_id=718585904_355958777_2_41_0&amp;sr_pri_blocks=718585904_355958777_2_41_0__446400000&amp;from_sustainable_property_sr=1&amp;from=searchresults" xr:uid="{C57EF28F-662F-46D3-ADCC-9A8E0E202CEC}"/>
    <hyperlink ref="B34" r:id="rId26" display="https://www.booking.com/hotel/co/boutique-san-rafael-mariquit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6851639&amp;dest_type=hotel&amp;group_adults=2&amp;req_adults=2&amp;no_rooms=1&amp;group_children=0&amp;req_children=0&amp;hpos=1&amp;hapos=1&amp;sr_order=popularity&amp;srpvid=ca8496c37e59026f&amp;srepoch=1731101195&amp;all_sr_blocks=685163901_298887798_2_1_0&amp;highlighted_blocks=685163901_298887798_2_1_0&amp;matching_block_id=685163901_298887798_2_1_0&amp;sr_pri_blocks=685163901_298887798_2_1_0__244800000&amp;from=searchresults" xr:uid="{6C15F858-496C-4CA7-9C2A-10BB81E7DC99}"/>
    <hyperlink ref="B24" r:id="rId27" location="no_availability_msg" display="https://www.booking.com/hotel/co/levit-guatape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3167955&amp;dest_type=hotel&amp;group_adults=2&amp;req_adults=2&amp;no_rooms=1&amp;group_children=0&amp;req_children=0&amp;hpos=1&amp;hapos=1&amp;sr_order=popularity&amp;srpvid=525294f44ce60f4a&amp;srepoch=1731100269&amp;soh=1&amp;from_sustainable_property_sr=1&amp;from=searchresults - no_availability_msg" xr:uid="{49640792-BA4C-461E-A592-EEC2B3957811}"/>
    <hyperlink ref="B20" r:id="rId28" display="https://www.booking.com/hotel/co/bubblesky-glamping-guatape-guatape1.es.html?label=guatape-KQW9h8XFbgTYRBxOuACAeAS501945784499%3Apl%3Ata%3Ap1%3Ap2%3Aac%3Aap%3Aneg%3Afi%3Atikwd-467544111764%3Alp20198%3Ali%3Adec%3Adm&amp;sid=1ceb258b5da5325b1f375fc1eb8f6953&amp;aid=1827201&amp;ucfs=1&amp;arphpl=1&amp;checkin=2024-11-14&amp;checkout=2024-11-15&amp;dest_id=-585862&amp;dest_type=city&amp;group_adults=2&amp;req_adults=2&amp;no_rooms=1&amp;group_children=0&amp;req_children=0&amp;hpos=1&amp;hapos=1&amp;sr_order=popularity&amp;srpvid=190c5d9cdf0a0447&amp;srepoch=1731590396&amp;all_sr_blocks=776657102_384931960_2_41_0&amp;highlighted_blocks=776657102_384931960_2_41_0&amp;matching_block_id=776657102_384931960_2_41_0&amp;sr_pri_blocks=776657102_384931960_2_41_0__44597560&amp;from_sustainable_property_sr=1&amp;from=searchresults" xr:uid="{F936E4B5-C36A-4C27-A9C6-EDD5FCDCA11C}"/>
    <hyperlink ref="B23" r:id="rId29" display="https://www.booking.com/hotel/co/jordan-boutique.es.html?label=New_English_EN_CO_26767227745-8Pi8nSYrBsC68_fucp60dwS634117823889%3Apl%3Ata%3Ap1%3Ap2%3Aac%3Aap%3Aneg%3Afi%3Atidsa-162435870265%3Alp20198%3Ali%3Adec%3Adm%3Aag26767227745%3Acmp394643665&amp;sid=1ceb258b5da5325b1f375fc1eb8f6953&amp;gclid=CjwKCAiA3Na5BhAZEiwAzrfagI8-YZht0rCE2Bt4-1sV3bay04cjXk2siB9oTMubmoaJ5AgZC3PCeBoC63sQAvD_BwE&amp;aid=318615&amp;ucfs=1&amp;arphpl=1&amp;checkin=2024-11-14&amp;checkout=2024-11-15&amp;dest_id=-585862&amp;dest_type=city&amp;group_adults=2&amp;req_adults=2&amp;no_rooms=1&amp;group_children=0&amp;req_children=0&amp;hpos=1&amp;hapos=1&amp;sr_order=popularity&amp;srpvid=229b5e2180ec0edf&amp;srepoch=1731590644&amp;all_sr_blocks=768066507_395595658_2_1_0&amp;highlighted_blocks=768066507_395595658_2_1_0&amp;matching_block_id=768066507_395595658_2_1_0&amp;sr_pri_blocks=768066507_395595658_2_1_0__27907200&amp;from_sustainable_property_sr=1&amp;from=searchresults" xr:uid="{35E0FAB2-FCA6-41E6-A51E-8730BC5E1983}"/>
    <hyperlink ref="B22" r:id="rId30" display="https://www.booking.com/hotel/co/pietrasanta.es.html?label=gog235jc-1DCAsoMkILcGlldHJhc2FudGFIClgDaDKIAQGYAQq4ARjIAQzYAQPoAQH4AQKIAgGoAgS4Aor017kGwAIB0gIkMzU3YmMyYjgtNDM0Zi00ODQ2LWJkNjQtZTg5MTE0NDJmNTgy2AIE4AIB&amp;sid=1ceb258b5da5325b1f375fc1eb8f6953&amp;aid=356980&amp;ucfs=1&amp;arphpl=1&amp;checkin=2024-11-14&amp;checkout=2024-11-15&amp;dest_id=-585862&amp;dest_type=city&amp;group_adults=2&amp;req_adults=2&amp;no_rooms=1&amp;group_children=0&amp;req_children=0&amp;hpos=1&amp;hapos=1&amp;sr_order=popularity&amp;srpvid=d7cd5e4579d8027e&amp;srepoch=1731590721&amp;all_sr_blocks=66806509_335395889_2_41_0&amp;highlighted_blocks=66806509_335395889_2_41_0&amp;matching_block_id=66806509_335395889_2_41_0&amp;sr_pri_blocks=66806509_335395889_2_41_0__78300000&amp;from=searchresults" xr:uid="{F709242E-4058-4039-8E2A-124DA3305ECC}"/>
    <hyperlink ref="B46" r:id="rId31" display="https://www.booking.com/hotel/co/mg-hotels-amp-suites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-596596&amp;dest_type=city&amp;group_adults=2&amp;req_adults=2&amp;no_rooms=1&amp;group_children=0&amp;req_children=0&amp;hpos=1&amp;hapos=1&amp;sr_order=popularity&amp;nflt=ht_id%3D204&amp;srpvid=013a96199ca30164&amp;srepoch=1731100866&amp;all_sr_blocks=204304209_94895693_0_1_0&amp;highlighted_blocks=204304209_94895693_0_1_0&amp;matching_block_id=204304209_94895693_0_1_0&amp;sr_pri_blocks=204304209_94895693_0_1_0__344088000&amp;from_sustainable_property_sr=1&amp;from=searchresults" xr:uid="{695FB945-FA4D-434D-BE48-2AA63215E0DE}"/>
    <hyperlink ref="B49" r:id="rId32" display="https://www.booking.com/hotel/co/cannua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4220225&amp;dest_type=hotel&amp;group_adults=2&amp;req_adults=2&amp;no_rooms=1&amp;group_children=0&amp;req_children=0&amp;hpos=1&amp;hapos=1&amp;sr_order=popularity&amp;srpvid=a0719643630d0afc&amp;srepoch=1731100939&amp;all_sr_blocks=422022501_128088096_2_1_0&amp;highlighted_blocks=422022501_128088096_2_1_0&amp;matching_block_id=422022501_128088096_2_1_0&amp;sr_pri_blocks=422022501_128088096_2_1_0__555989111&amp;from_sustainable_property_sr=1&amp;from=searchresults" xr:uid="{25440CDD-51F4-46DC-8A4A-89EE1D694FF2}"/>
    <hyperlink ref="B52" r:id="rId33" display="https://www.booking.com/hotel/co/glamping-the-mountain.es.html?label=gen173nr-1BCAEoggI46AdIM1gEaDKIAQGYAQq4ARfIARXYAQHoAQGIAgGoAgO4Auv6ubkGwAIB0gIkNDIxYWRlNzgtZGMxNy00ZTRiLWI1OTctZWE2NjQ2MGNiNGE52AIF4AIB&amp;sid=4b0d2a11a7f716ea1fbbcbbef9dba78d&amp;aid=304142&amp;ucfs=1&amp;arphpl=1&amp;checkin=2024-11-22&amp;checkout=2024-11-30&amp;dest_id=8570511&amp;dest_type=hotel&amp;group_adults=2&amp;req_adults=2&amp;no_rooms=1&amp;group_children=0&amp;req_children=0&amp;hpos=1&amp;hapos=1&amp;sr_order=popularity&amp;srpvid=bd40951557cc0237&amp;srepoch=1731100334&amp;all_sr_blocks=857051102_373211362_0_1_0&amp;highlighted_blocks=857051102_373211362_0_1_0&amp;matching_block_id=857051102_373211362_0_1_0&amp;sr_pri_blocks=857051102_373211362_0_1_0__388800000&amp;from_sustainable_property_sr=1&amp;from=searchresults" xr:uid="{8C213763-DA26-4BD1-8587-4B75E8AC135D}"/>
    <hyperlink ref="B53" r:id="rId34" display="https://www.booking.com/hotel/co/glmping-5-elementos-el-penol-a-30-minutos-de-guatape.es.html?label=gog235jc-1DCAsoMkI0Z2xtcGluZy01LWVsZW1lbnRvcy1lbC1wZW5vbC1hLTMwLW1pbnV0b3MtZGUtZ3VhdGFwZUgKWANoMogBAZgBCrgBGMgBDNgBA-gBAfgBAogCAagCBLgC5PLXuQbAAgHSAiQzNmRlOWZlNy00MmY0LTQ0OWUtOWY0My03NTEwZjEzNTBjYzXYAgTgAgE&amp;sid=1ceb258b5da5325b1f375fc1eb8f6953&amp;aid=356980&amp;ucfs=1&amp;arphpl=1&amp;checkin=2024-11-14&amp;checkout=2024-11-15&amp;dest_id=900058844&amp;dest_type=city&amp;group_adults=2&amp;req_adults=2&amp;no_rooms=1&amp;group_children=0&amp;req_children=0&amp;hpos=1&amp;hapos=1&amp;sr_order=popularity&amp;srpvid=1e6f5df2a94607cc&amp;srepoch=1731590552&amp;all_sr_blocks=1261771001_401045264_2_1_0_637070&amp;highlighted_blocks=1261771001_401045264_2_1_0_637070&amp;matching_block_id=1261771001_401045264_2_1_0_637070&amp;sr_pri_blocks=1261771001_401045264_2_1_0_637070_30800000&amp;from_sustainable_property_sr=1&amp;from=searchresults" xr:uid="{C068563A-EFD3-49B1-972D-A4A3C764B429}"/>
    <hyperlink ref="B67" r:id="rId35" display="https://www.booking.com/hotel/co/bambu-guatape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8871595&amp;dest_type=hotel&amp;group_adults=2&amp;req_adults=2&amp;no_rooms=1&amp;group_children=0&amp;req_children=0&amp;hpos=1&amp;hapos=1&amp;sr_order=popularity&amp;srpvid=f3a395e09eb1055d&amp;srepoch=1731100740&amp;all_sr_blocks=887159510_377697257_2_2_0&amp;highlighted_blocks=887159510_377697257_2_2_0&amp;matching_block_id=887159510_377697257_2_2_0&amp;sr_pri_blocks=887159510_377697257_2_2_0__80514720&amp;from_sustainable_property_sr=1&amp;from=searchresults" xr:uid="{48A34EBB-AB3C-4D73-A1C1-98FB081FCE57}"/>
    <hyperlink ref="B75" r:id="rId36" display="https://www.booking.com/hotel/co/san-simon-glamping.es.html?aid=304142&amp;label=gen173nr-1FCAEoggI46AdIM1gEaDKIAQGYAQq4ARjIAQzYAQHoAQH4AQyIAgGoAgS4AtaL6LUGwAIB0gIkNjdiNjQ5ZmQtMzJlYy00NmE1LThhOGUtMmU0ZmUyYTgxZjIz2AIG4AIB&amp;sid=d0e7b2a1316f88f544ee0e1e96c3d09e&amp;all_sr_blocks=1064978102_378886255_2_0_0;checkin=2024-11-22;checkout=2024-11-23;dest_id=900058844;dest_type=city;dist=0;group_adults=2;group_children=0;hapos=22;highlighted_blocks=1064978102_378886255_2_0_0;hpos=22;matching_block_id=1064978102_378886255_2_0_0;nflt=hotelfacility%3D4%3Bhotelfacility%3D107%3Bpopular_activities%3D63%3Bht_id%3D220%3Bht_id%3D213;no_rooms=1;req_adults=2;req_children=0;room1=A%2CA;sb_price_type=total;sr_order=popularity;sr_pri_blocks=1064978102_378886255_2_0_0__26535600;srepoch=1723467604;srpvid=4deb5b36216c05f2;type=total;ucfs=1&amp;" xr:uid="{C65E4ACD-BE90-42DF-930A-2965414F034E}"/>
    <hyperlink ref="B76" r:id="rId37" display="https://www.booking.com/hotel/co/cabanas-navegar.es.html?aid=304142&amp;label=gen173nr-1FCAEoggI46AdIM1gEaDKIAQGYAQq4ARjIAQzYAQHoAQH4AQyIAgGoAgS4AtaL6LUGwAIB0gIkNjdiNjQ5ZmQtMzJlYy00NmE1LThhOGUtMmU0ZmUyYTgxZjIz2AIG4AIB&amp;sid=d0e7b2a1316f88f544ee0e1e96c3d09e&amp;all_sr_blocks=953678211_384057531_5_0_0;checkin=2024-09-06;checkout=2024-09-07;dest_id=9536782;dest_type=hotel;dist=0;group_adults=2;group_children=0;hapos=1;highlighted_blocks=953678211_384057531_5_0_0;hpos=1;matching_block_id=953678211_384057531_5_0_0;no_rooms=1;req_adults=2;req_children=0;room1=A%2CA;sb_price_type=total;sr_order=popularity;sr_pri_blocks=953678211_384057531_5_0_0__28188000;srepoch=1723469281;srpvid=fa945eaef1e90025;type=total;ucfs=1&amp;" xr:uid="{3A24B53C-C7BF-4ADB-9B20-D0CF6F05D313}"/>
    <hyperlink ref="B77" r:id="rId38" display="https://www.booking.com/hotel/co/magic-view-el-penol-guatape.es.html?aid=304142&amp;label=gen173nr-1FCAEoggI46AdIM1gEaDKIAQGYAQq4ARjIAQzYAQHoAQH4AQyIAgGoAgS4AtaL6LUGwAIB0gIkNjdiNjQ5ZmQtMzJlYy00NmE1LThhOGUtMmU0ZmUyYTgxZjIz2AIG4AIB&amp;sid=d0e7b2a1316f88f544ee0e1e96c3d09e&amp;all_sr_blocks=1199563302_392231925_0_1_0;checkin=2024-09-06;checkout=2024-09-07;dest_id=11995633;dest_type=hotel;dist=0;group_adults=2;group_children=0;hapos=1;highlighted_blocks=1199563302_392231925_0_1_0;hpos=1;matching_block_id=1199563302_392231925_0_1_0;no_rooms=1;req_adults=2;req_children=0;room1=A%2CA;sb_price_type=total;sr_order=popularity;sr_pri_blocks=1199563302_392231925_0_1_0__61600000;srepoch=1723469339;srpvid=49145ecc63d10254;type=total;ucfs=1&amp;" xr:uid="{6F41848E-6A2E-40C9-8DB8-9EEA4D00AF12}"/>
    <hyperlink ref="B78" r:id="rId39" display="https://www.booking.com/hotel/co/refugio-del-lago-guatape.es.html?aid=304142&amp;label=gen173nr-1FCAEoggI46AdIM1gEaDKIAQGYAQq4ARjIAQzYAQHoAQH4AQyIAgGoAgS4AtaL6LUGwAIB0gIkNjdiNjQ5ZmQtMzJlYy00NmE1LThhOGUtMmU0ZmUyYTgxZjIz2AIG4AIB&amp;sid=d0e7b2a1316f88f544ee0e1e96c3d09e&amp;all_sr_blocks=1103691301_383203110_2_0_0;checkin=2024-09-06;checkout=2024-09-07;dest_id=900058844;dest_type=city;dist=0;group_adults=2;group_children=0;hapos=7;highlighted_blocks=1103691301_383203110_2_0_0;hpos=7;matching_block_id=1103691301_383203110_2_0_0;nflt=ht_id%3D220%3Bht_id%3D223%3Broomfacility%3D20%3Broomfacility%3D999;no_rooms=1;req_adults=2;req_children=0;room1=A%2CA;sb_price_type=total;sr_order=popularity;sr_pri_blocks=1103691301_383203110_2_0_0__45000000;srepoch=1723467959;srpvid=52525bcd774e0055;type=total;ucfs=1&amp;" xr:uid="{6DD27192-CD48-4EC6-86FA-019BA59910E9}"/>
    <hyperlink ref="B80" r:id="rId40" display="https://www.booking.com/hotel/co/suite-gold-rocks-glamping.es.html?aid=304142&amp;label=gen173nr-1FCAEoggI46AdIM1gEaDKIAQGYAQq4ARjIAQzYAQHoAQH4AQyIAgGoAgS4AtaL6LUGwAIB0gIkNjdiNjQ5ZmQtMzJlYy00NmE1LThhOGUtMmU0ZmUyYTgxZjIz2AIG4AIB&amp;sid=d0e7b2a1316f88f544ee0e1e96c3d09e&amp;all_sr_blocks=1175900602_390126003_2_41_0;checkin=2024-11-22;checkout=2024-11-23;dest_id=900058844;dest_type=city;dist=0;group_adults=2;group_children=0;hapos=2;highlighted_blocks=1175900602_390126003_2_41_0;hpos=2;matching_block_id=1175900602_390126003_2_41_0;no_rooms=1;req_adults=2;req_children=0;room1=A%2CA;sb_price_type=total;sr_order=popularity;sr_pri_blocks=1175900602_390126003_2_41_0__19491840;srepoch=1723468321;srpvid=c22d5cbe60ff03bf;type=total;ucfs=1&amp;" xr:uid="{3254C3E0-51CD-4C3C-AA49-A7ABBA718EC0}"/>
    <hyperlink ref="B81" r:id="rId41" display="https://www.booking.com/hotel/co/eco-lodge-glamping.es.html?aid=304142&amp;label=gen173nr-1FCAEoggI46AdIM1gEaDKIAQGYAQq4ARjIAQzYAQHoAQH4AQyIAgGoAgS4AtaL6LUGwAIB0gIkNjdiNjQ5ZmQtMzJlYy00NmE1LThhOGUtMmU0ZmUyYTgxZjIz2AIG4AIB&amp;sid=d0e7b2a1316f88f544ee0e1e96c3d09e&amp;atlas_src=hp_iw_btn&amp;checkin=2024-09-06&amp;checkout=2024-09-07&amp;dist=0&amp;group_adults=2&amp;group_children=0&amp;no_rooms=1&amp;room1=A%2CA&amp;sb_price_type=total&amp;srepoch=1723468510&amp;srpvid=458c5cfc1afd0260&amp;type=total&amp;" xr:uid="{C91C49E4-A9E3-4721-A06A-BEF5391EC4BA}"/>
    <hyperlink ref="B82" r:id="rId42" display="https://www.booking.com/hotel/co/glamping-domo-geodesico-guatape.es.html?aid=304142&amp;label=gen173nr-1FCAEoggI46AdIM1gEaDKIAQGYAQq4ARjIAQzYAQHoAQH4AQyIAgGoAgS4AtaL6LUGwAIB0gIkNjdiNjQ5ZmQtMzJlYy00NmE1LThhOGUtMmU0ZmUyYTgxZjIz2AIG4AIB&amp;sid=d0e7b2a1316f88f544ee0e1e96c3d09e&amp;all_sr_blocks=710786401_343638428_2_1_0;checkin=2024-11-22;checkout=2024-11-23;dest_id=900058844;dest_type=city;dist=0;group_adults=2;group_children=0;hapos=20;highlighted_blocks=710786401_343638428_2_1_0;hpos=20;matching_block_id=710786401_343638428_2_1_0;nflt=hotelfacility%3D4%3Bhotelfacility%3D107%3Bpopular_activities%3D63%3Bht_id%3D220%3Bht_id%3D213;no_rooms=1;req_adults=2;req_children=0;room1=A%2CA;sb_price_type=total;sr_order=popularity;sr_pri_blocks=710786401_343638428_2_1_0__52650000;srepoch=1723467581;srpvid=4deb5b36216c05f2;type=total;ucfs=1&amp;" xr:uid="{D308DA8A-5819-4E24-9283-8988B5A5E55E}"/>
    <hyperlink ref="B83" r:id="rId43" display="https://www.booking.com/hotel/co/f3-cabanas-con-represa-y-glamping-penol-y-guatape.es.html?aid=304142&amp;label=gen173nr-1FCAEoggI46AdIM1gEaDKIAQGYAQq4ARjIAQzYAQHoAQH4AQyIAgGoAgS4AtaL6LUGwAIB0gIkNjdiNjQ5ZmQtMzJlYy00NmE1LThhOGUtMmU0ZmUyYTgxZjIz2AIG4AIB&amp;sid=d0e7b2a1316f88f544ee0e1e96c3d09e&amp;all_sr_blocks=1067150801_379114127_2_2_0;checkin=2024-09-06;checkout=2024-09-07;dest_id=900058844;dest_type=city;dist=0;group_adults=2;group_children=0;hapos=6;highlighted_blocks=1067150801_379114127_2_2_0;hpos=6;matching_block_id=1067150801_379114127_2_2_0;nflt=roomfacility%3D81%3Broomfacility%3D17%3Broomfacility%3D20%3Broomfacility%3D999;no_rooms=1;req_adults=2;req_children=0;room1=A%2CA;sb_price_type=total;sr_order=popularity;sr_pri_blocks=1067150801_379114127_2_2_0__31500000;srepoch=1723469099;srpvid=52525bcd774e0055;type=total;ucfs=1&amp;" xr:uid="{A78AF755-3A9D-4888-BAE0-4D97B7D1C6AD}"/>
    <hyperlink ref="B63" r:id="rId44" display="https://www.booking.com/hotel/co/glamping-the-mountain.es.html?label=gen173nr-1BCAEoggI46AdIM1gEaDKIAQGYAQq4ARfIARXYAQHoAQGIAgGoAgO4Auv6ubkGwAIB0gIkNDIxYWRlNzgtZGMxNy00ZTRiLWI1OTctZWE2NjQ2MGNiNGE52AIF4AIB&amp;sid=4b0d2a11a7f716ea1fbbcbbef9dba78d&amp;aid=304142&amp;ucfs=1&amp;arphpl=1&amp;checkin=2024-11-22&amp;checkout=2024-11-30&amp;dest_id=8570511&amp;dest_type=hotel&amp;group_adults=2&amp;req_adults=2&amp;no_rooms=1&amp;group_children=0&amp;req_children=0&amp;hpos=1&amp;hapos=1&amp;sr_order=popularity&amp;srpvid=bd40951557cc0237&amp;srepoch=1731100334&amp;all_sr_blocks=857051102_373211362_0_1_0&amp;highlighted_blocks=857051102_373211362_0_1_0&amp;matching_block_id=857051102_373211362_0_1_0&amp;sr_pri_blocks=857051102_373211362_0_1_0__388800000&amp;from_sustainable_property_sr=1&amp;from=searchresults" xr:uid="{F24EADFB-B7B1-48DA-B17C-52205221AFC8}"/>
    <hyperlink ref="B64" r:id="rId45" display="https://www.booking.com/hotel/co/glmping-5-elementos-el-penol-a-30-minutos-de-guatape.es.html?label=gog235jc-1DCAsoMkI0Z2xtcGluZy01LWVsZW1lbnRvcy1lbC1wZW5vbC1hLTMwLW1pbnV0b3MtZGUtZ3VhdGFwZUgKWANoMogBAZgBCrgBGMgBDNgBA-gBAfgBAogCAagCBLgC5PLXuQbAAgHSAiQzNmRlOWZlNy00MmY0LTQ0OWUtOWY0My03NTEwZjEzNTBjYzXYAgTgAgE&amp;sid=1ceb258b5da5325b1f375fc1eb8f6953&amp;aid=356980&amp;ucfs=1&amp;arphpl=1&amp;checkin=2024-11-14&amp;checkout=2024-11-15&amp;dest_id=900058844&amp;dest_type=city&amp;group_adults=2&amp;req_adults=2&amp;no_rooms=1&amp;group_children=0&amp;req_children=0&amp;hpos=1&amp;hapos=1&amp;sr_order=popularity&amp;srpvid=1e6f5df2a94607cc&amp;srepoch=1731590552&amp;all_sr_blocks=1261771001_401045264_2_1_0_637070&amp;highlighted_blocks=1261771001_401045264_2_1_0_637070&amp;matching_block_id=1261771001_401045264_2_1_0_637070&amp;sr_pri_blocks=1261771001_401045264_2_1_0_637070_30800000&amp;from_sustainable_property_sr=1&amp;from=searchresults" xr:uid="{03864B86-F9CD-4404-8845-CFF7F969DBE3}"/>
    <hyperlink ref="B101" r:id="rId46" display="https://www.booking.com/hotel/co/espectacular-cabana-loft-en-guatape-jacuzzi.es.html?label=gog235jc-1DCAsoMkIrZXNwZWN0YWN1bGFyLWNhYmFuYS1sb2Z0LWVuLWd1YXRhcGUtamFjdXp6aUgKWANoMogBAZgBCrgBGMgBDNgBA-gBAfgBAogCAagCBLgCs9uCugbAAgHSAiQyMzdiYjk2Ni03YmViLTQzY2ItYWY1OS02OTY1Mjk2MWRkM2HYAgTgAgE&amp;sid=1ceb258b5da5325b1f375fc1eb8f6953&amp;aid=356980&amp;ucfs=1&amp;arphpl=1&amp;checkin=2024-11-28&amp;checkout=2024-11-29&amp;dest_id=900058844&amp;dest_type=city&amp;group_adults=2&amp;req_adults=2&amp;no_rooms=1&amp;group_children=0&amp;req_children=0&amp;hpos=1&amp;hapos=1&amp;sr_order=popularity&amp;srpvid=9a3a721a345805b6&amp;srepoch=1732292048&amp;all_sr_blocks=1026227301_375368796_7_0_0&amp;highlighted_blocks=1026227301_375368796_7_0_0&amp;matching_block_id=1026227301_375368796_7_0_0&amp;sr_pri_blocks=1026227301_375368796_7_0_0__387000000&amp;from=searchresults" xr:uid="{23F89938-9348-4591-9941-F32F3805FBBE}"/>
    <hyperlink ref="B71" r:id="rId47" display="https://www.booking.com/hotel/co/portobelo-guatape.es.html?label=metagha-link-LUCO-hotel-2302686_dev-desktop_los-1_bw-6_dow-Thursday_defdate-0_room-0_gstadt-2_rateid-public_aud-0_gacid-21415124842_mcid-10_ppa-0_clrid-0_ad-1_gstkid-0_checkin-20241128_ppt-_lp-2170_r-2332944182270452&amp;sid=1ceb258b5da5325b1f375fc1eb8f6953&amp;utm_source=metagha&amp;utm_medium=localuniversal&amp;utm_term=hotel-2302686&amp;utm_content=dev-desktop_los-1_bw-6_dow-Thursday_defdate-0_room-0_gstadt-2_rateid-public_aud-0_gacid-21415124842_mcid-10_ppa-0_clrid-0_ad-1_gstkid-0_checkin-20241128_ppt-&amp;utm_campaign=CO&amp;gclid=CjwKCAiA9IC6BhA3EiwAsbltOBeGOwgHcwmelmrHhK9QjZa_ptdl6m3EHBTyD0UjQMdNxTg0aIXIchoCEsEQAvD_BwE&amp;aid=356938&amp;ucfs=1&amp;arphpl=1&amp;checkin=2024-11-28&amp;checkout=2024-11-29&amp;dest_id=-585862&amp;dest_type=city&amp;group_adults=2&amp;req_adults=2&amp;no_rooms=1&amp;group_children=0&amp;req_children=0&amp;hpos=1&amp;hapos=1&amp;sr_order=popularity&amp;srpvid=c47b856e89b6047c&amp;srepoch=1732301940&amp;all_sr_blocks=230268610_403432295_2_0_0&amp;highlighted_blocks=230268610_403432295_2_0_0&amp;matching_block_id=230268610_403432295_2_0_0&amp;sr_pri_blocks=230268610_403432295_2_0_0__15000000&amp;from=searchresults" xr:uid="{A8170D06-850E-4AD7-866A-5CFBD3123F0C}"/>
    <hyperlink ref="B70" r:id="rId48" display="https://www.booking.com/hotel/co/brisas-de-guatape-guatape4.es.html?label=metagha-link-LUCO-hotel-2302686_dev-desktop_los-1_bw-6_dow-Thursday_defdate-0_room-0_gstadt-2_rateid-public_aud-0_gacid-21415124842_mcid-10_ppa-0_clrid-0_ad-1_gstkid-0_checkin-20241128_ppt-_lp-2170_r-2332944182270452&amp;sid=1ceb258b5da5325b1f375fc1eb8f6953&amp;aid=356938&amp;ucfs=1&amp;arphpl=1&amp;checkin=2024-11-28&amp;checkout=2024-11-29&amp;dest_id=13060975&amp;dest_type=hotel&amp;group_adults=2&amp;req_adults=2&amp;no_rooms=1&amp;group_children=0&amp;req_children=0&amp;hpos=1&amp;hapos=1&amp;sr_order=popularity&amp;srpvid=1a8185909337041d&amp;srepoch=1732302008&amp;all_sr_blocks=1306097503_403444141_0_1_0&amp;highlighted_blocks=1306097503_403444141_0_1_0&amp;matching_block_id=1306097503_403444141_0_1_0&amp;sr_pri_blocks=1306097503_403444141_0_1_0__10800000&amp;from=searchresults" xr:uid="{385D73A5-22C3-4E47-84E1-09E921EDBB62}"/>
    <hyperlink ref="F58" r:id="rId49" display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xr:uid="{31C851BC-5CE8-497B-B35C-A7DD3996DF85}"/>
    <hyperlink ref="F59" r:id="rId50" display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xr:uid="{19664CF9-6A84-4736-8F72-FA909320114C}"/>
    <hyperlink ref="B58" r:id="rId51" display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xr:uid="{68735CF6-F2B8-4131-9E56-DF8917608F00}"/>
    <hyperlink ref="B72" r:id="rId52" display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xr:uid="{F9E4BF84-3BB4-43A8-B759-A87B135BD381}"/>
    <hyperlink ref="B57" r:id="rId53" display="https://www.booking.com/hotel/co/bramasole-boutique-el-penol-bogota.es.html?label=bin859jc-1DCAsoMkIiYnJhbWFzb2xlLWJvdXRpcXVlLWVsLXBlbm9sLWJvZ290YUgKWANoMogBAZgBCrgBGMgBDNgBA-gBAfgBA4gCAagCBLgC6q2DugbAAgHSAiRhZjNhYjYzNS01ODQyLTQ2MmMtOWU0Zi03NDFmOWFjNjFlZmHYAgTgAgE&amp;sid=d0e7b2a1316f88f544ee0e1e96c3d09e&amp;aid=357028&amp;ucfs=1&amp;arphpl=1&amp;checkin=2024-11-28&amp;checkout=2024-11-29&amp;dest_id=900058844&amp;dest_type=city&amp;group_adults=2&amp;req_adults=2&amp;no_rooms=1&amp;group_children=0&amp;req_children=0&amp;hpos=1&amp;hapos=1&amp;sr_order=popularity&amp;srpvid=2b2286b696960187&amp;srepoch=1732302596&amp;all_sr_blocks=1159062803_394849625_2_0_0&amp;highlighted_blocks=1159062803_394849625_2_0_0&amp;matching_block_id=1159062803_394849625_2_0_0&amp;sr_pri_blocks=1159062803_394849625_2_0_0__17100000&amp;from_sustainable_property_sr=1&amp;from=searchresults" xr:uid="{ACD5660D-CFC1-4BAD-9BD4-2E87BC7707B2}"/>
    <hyperlink ref="B59" r:id="rId54" display="https://www.booking.com/hotel/co/nomada-guatape.es.html?label=msn-qJCUd8*wq3ieTPmaNHUUww-79920942894960%3Atidat-2331720565597278%3Aloc-43%3Aneo%3Amtb%3Alp142114%3Adec%3AqsNomada+Hotel+Guatap%C3%A9&amp;sid=d0e7b2a1316f88f544ee0e1e96c3d09e&amp;utm_source=bing&amp;utm_medium=cpc&amp;utm_term=qJCUd8*wq3ieTPmaNHUUww%3Fmsclkid%3D6707ee64c7f3192dde9a892410e6442b&amp;utm_content=Hotel_Domestic&amp;utm_campaign=Spanish_Colombia+ES+CO&amp;aid=1181029&amp;ucfs=1&amp;arphpl=1&amp;checkin=2024-11-28&amp;checkout=2024-11-29&amp;dest_id=-585862&amp;dest_type=city&amp;group_adults=2&amp;req_adults=2&amp;no_rooms=1&amp;group_children=0&amp;req_children=0&amp;hpos=1&amp;hapos=1&amp;sr_order=popularity&amp;srpvid=dae686cfabf40186&amp;srepoch=1732302646&amp;all_sr_blocks=1118621209_384769496_2_2_0&amp;highlighted_blocks=1118621209_384769496_2_2_0&amp;matching_block_id=1118621209_384769496_2_2_0&amp;sr_pri_blocks=1118621209_384769496_2_2_0__9288000&amp;from=searchresults" xr:uid="{5B267712-6988-4B1F-890E-4BE8B5B26A4A}"/>
    <hyperlink ref="B107" r:id="rId55" display="https://www.booking.com/hotel/co/vivanti-resort.es.html?label=gen173nr-1FCAEoggI46AdIM1gEaDKIAQGYAQq4ARfIARXYAQHoAQH4AQOIAgGoAgO4Auv6ubkGwAIB0gIkNDIxYWRlNzgtZGMxNy00ZTRiLWI1OTctZWE2NjQ2MGNiNGE52AIG4AIB&amp;aid=304142&amp;ucfs=1&amp;arphpl=1&amp;checkin=2024-11-22&amp;checkout=2024-11-30&amp;group_adults=2&amp;req_adults=2&amp;no_rooms=1&amp;group_children=0&amp;req_children=0&amp;hpos=1&amp;hapos=1&amp;sr_order=distance_from_search&amp;srpvid=ce39959ae6b00596&amp;srepoch=1731100601&amp;all_sr_blocks=1117293807_401806153_2_1_0_372951&amp;highlighted_blocks=1117293807_401806153_2_1_0_372951&amp;matching_block_id=1117293807_401806153_2_1_0_372951&amp;sr_pri_blocks=1117293807_401806153_2_1_0_372951_434816000&amp;from_sustainable_property_sr=1&amp;from=searchresults" xr:uid="{D5D6C207-0374-4947-91A7-0DFD6EEE8E73}"/>
    <hyperlink ref="B110" r:id="rId56" display="https://www.booking.com/hotel/co/rooca-guatape.es.html?label=gog235jc-1DCAsoMkINcm9vY2EtZ3VhdGFwZUgKWANoMogBAZgBCrgBGMgBDNgBA-gBAfgBAogCAagCBLgC7KGXugbAAgHSAiRjZjBjZmJiNS04NTU3LTQxM2EtOWY2My0xN2E1MTc0NTE0ZjjYAgTgAgE&amp;sid=1ceb258b5da5325b1f375fc1eb8f6953&amp;aid=356980&amp;ucfs=1&amp;arphpl=1&amp;checkin=2024-12-14&amp;checkout=2024-12-15&amp;dest_id=-585862&amp;dest_type=city&amp;group_adults=2&amp;req_adults=2&amp;no_rooms=1&amp;group_children=0&amp;req_children=0&amp;hpos=1&amp;hapos=1&amp;sr_order=popularity&amp;srpvid=1ada60b64fc50ac7&amp;srepoch=1732628768&amp;all_sr_blocks=1256101304_404221846_2_1_0&amp;highlighted_blocks=1256101304_404221846_2_1_0&amp;matching_block_id=1256101304_404221846_2_1_0&amp;sr_pri_blocks=1256101304_404221846_2_1_0__40500000&amp;from=searchresults" xr:uid="{0C24258F-2600-4FEA-A1CD-F664C21020E0}"/>
    <hyperlink ref="B109" r:id="rId57" display="https://www.booking.com/hotel/co/la-magdalena-santuario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2278508&amp;dest_type=hotel&amp;group_adults=2&amp;req_adults=2&amp;no_rooms=1&amp;group_children=0&amp;req_children=0&amp;hpos=1&amp;hapos=1&amp;sr_order=popularity&amp;srpvid=168b95b4972802fd&amp;srepoch=1731100653&amp;all_sr_blocks=227850807_335665585_2_1_0&amp;highlighted_blocks=227850807_335665585_2_1_0&amp;matching_block_id=227850807_335665585_2_1_0&amp;sr_pri_blocks=227850807_335665585_2_1_0__432900000&amp;from=searchresults" xr:uid="{3418345E-AB3C-4E12-88CE-41FCCD6800C5}"/>
    <hyperlink ref="B112" r:id="rId58" display="https://www.booking.com/hotel/co/mansion-de-oriente.es.html?label=gen173nr-1BCAEoggI46AdIM1gEaDKIAQGYAQq4ARfIARXYAQHoAQGIAgGoAgO4Asv_ubkGwAIB0gIkYTZiYjIyZTAtZmU4Ni00MDExLWE2MDUtNTlhZjliZGQ4Mjlm2AIF4AIB&amp;sid=4b0d2a11a7f716ea1fbbcbbef9dba78d&amp;aid=304142&amp;ucfs=1&amp;arphpl=1&amp;checkin=2024-11-22&amp;checkout=2024-11-30&amp;dest_id=2291786&amp;dest_type=hotel&amp;group_adults=2&amp;req_adults=2&amp;no_rooms=1&amp;group_children=0&amp;req_children=0&amp;hpos=1&amp;hapos=1&amp;sr_order=popularity&amp;srpvid=e98295bc625605a6&amp;srepoch=1731100669&amp;all_sr_blocks=229178609_211969538_2_41_0&amp;highlighted_blocks=229178609_211969538_2_41_0&amp;matching_block_id=229178609_211969538_2_41_0&amp;sr_pri_blocks=229178609_211969538_2_41_0__244800000&amp;from=searchresults" xr:uid="{DF5EFFD3-A015-48A0-B1F8-100D26DE7853}"/>
    <hyperlink ref="B108" r:id="rId59" display="https://www.booking.com/hotel/co/1714-boutique.es.html?label=New_English_EN_CO_26767227745-8Pi8nSYrBsC68_fucp60dwS634117823889%3Apl%3Ata%3Ap1%3Ap2%3Aac%3Aap%3Aneg%3Afi%3Atidsa-162435870265%3Alp20198%3Ali%3Adec%3Adm%3Aag26767227745%3Acmp394643665&amp;sid=1ceb258b5da5325b1f375fc1eb8f6953&amp;gclid=Cj0KCQiAgJa6BhCOARIsAMiL7V938QifTpL531d80AKT_T-9HsBthCu7uAyEQ9BtykZl6HqPq-AT3pwaAnC0EALw_wcB&amp;aid=318615&amp;ucfs=1&amp;arphpl=1&amp;checkin=2024-12-14&amp;checkout=2024-12-15&amp;dest_id=-585862&amp;dest_type=city&amp;group_adults=2&amp;req_adults=2&amp;no_rooms=1&amp;group_children=0&amp;req_children=0&amp;hpos=1&amp;hapos=1&amp;sr_order=popularity&amp;srpvid=577c60e85ecb0a82&amp;srepoch=1732628837&amp;all_sr_blocks=1038996506_388715163_2_1_0&amp;highlighted_blocks=1038996506_388715163_2_1_0&amp;matching_block_id=1038996506_388715163_2_1_0&amp;sr_pri_blocks=1038996506_388715163_2_1_0__42840000&amp;from_sustainable_property_sr=1&amp;from=searchresults" xr:uid="{C16416EB-10E5-498C-9BFF-0480536E0DF0}"/>
    <hyperlink ref="B111" r:id="rId60" display="https://www.booking.com/hotel/co/santorini-guatape.es.html?label=santorini-guatape-adMVqiMFou2uglkXXB7DSwS477283917024%3Apl%3Ata%3Ap1%3Ap2%3Aac%3Aap%3Aneg%3Afi%3Atikwd-1298466778990%3Alp20198%3Ali%3Adec%3Adm%3Appccp%3DUmFuZG9tSVYkc2RlIyh9YavywThF4buZaN3e9Rle2iM&amp;sid=1ceb258b5da5325b1f375fc1eb8f6953&amp;gclid=Cj0KCQiAgJa6BhCOARIsAMiL7V-XZYGHYi452WA1oTO-oxzPtMfbKwRYDd9YchoAygQPeAqvILb-IUUaAhh6EALw_wcB&amp;aid=311839&amp;ucfs=1&amp;arphpl=1&amp;checkin=2024-12-14&amp;checkout=2024-12-15&amp;dest_id=-585862&amp;dest_type=city&amp;group_adults=2&amp;req_adults=2&amp;no_rooms=1&amp;group_children=0&amp;req_children=0&amp;hpos=1&amp;hapos=1&amp;sr_order=popularity&amp;srpvid=3fbf61061dac0c47&amp;srepoch=1732628897&amp;all_sr_blocks=607348102_279428404_2_1_0&amp;highlighted_blocks=607348102_279428404_2_1_0&amp;matching_block_id=607348102_279428404_2_1_0&amp;sr_pri_blocks=607348102_279428404_2_1_0__32000000&amp;from=searchresults" xr:uid="{537910FA-2FAC-4C19-933F-937A8A26A77B}"/>
    <hyperlink ref="B113" r:id="rId61" display="https://www.booking.com/hotel/co/cabanas-navegar.es-mx.html?label=Spanish_Colombia_ES_CO_20153959105-JvWA_BiunE_YalmU9PDZ_QS640874832178%3Apl%3Ata%3Ap1%3Ap2%3Aac%3Aap%3Aneg%3Afi%3Atidsa-162435870265%3Alp20198%3Ali%3Adec%3Adm%3Aag20153959105%3Acmp313803625&amp;sid=1ceb258b5da5325b1f375fc1eb8f6953&amp;aid=318615&amp;ucfs=1&amp;arphpl=1&amp;checkin=2025-01-16&amp;checkout=2025-01-17&amp;dest_id=-585862&amp;dest_type=city&amp;group_adults=2&amp;req_adults=2&amp;no_rooms=1&amp;group_children=1&amp;req_children=1&amp;age=1&amp;req_age=1&amp;hpos=1&amp;hapos=1&amp;sr_order=popularity&amp;srpvid=93d05827e77d073c&amp;srepoch=1734611241&amp;all_sr_blocks=953678210_384057531_5_0_0&amp;highlighted_blocks=953678210_384057531_5_0_0&amp;matching_block_id=953678210_384057531_5_0_0&amp;sr_pri_blocks=953678210_384057531_5_0_0__31900000&amp;from=searchresults" xr:uid="{B9BC262B-F40B-41A9-8535-80FBF32D4607}"/>
    <hyperlink ref="B114" r:id="rId62" display="https://www.booking.com/hotel/co/jordan-boutique.es-mx.html?label=gog235jc-1FCAsoMkIPam9yZGFuLWJvdXRpcXVlSApYA2gyiAEBmAEKuAEYyAEM2AEB6AEB-AECiAIBqAIEuALDjpK6BsACAdICJDBmODRiYWNjLWI5MmMtNDA1Zi04ZDg5LTZkZjFiMmFjZmZjMtgCBeACAQ&amp;sid=1ceb258b5da5325b1f375fc1eb8f6953&amp;aid=356980&amp;ucfs=1&amp;arphpl=1&amp;checkin=2025-01-16&amp;checkout=2025-01-17&amp;dest_id=-585862&amp;dest_type=city&amp;group_adults=2&amp;req_adults=2&amp;no_rooms=1&amp;group_children=1&amp;req_children=1&amp;age=1&amp;req_age=1&amp;hpos=1&amp;hapos=1&amp;sr_order=popularity&amp;srpvid=6fad584881ab0357&amp;srepoch=1734611308&amp;all_sr_blocks=768066504_405311183_2_1_0&amp;highlighted_blocks=768066504_405311183_2_1_0&amp;matching_block_id=768066504_405311183_2_1_0&amp;sr_pri_blocks=768066504_405311183_2_1_0__59664000&amp;from=searchresults" xr:uid="{185C8EC1-FCCC-45D8-B4CA-2E827A151EC9}"/>
    <hyperlink ref="B115" r:id="rId63" display="https://www.booking.com/hotel/co/san-simon-glamping.es.html?aid=304142&amp;label=gen173nr-1FCAEoggI46AdIM1gEaDKIAQGYAQq4ARjIAQzYAQHoAQH4AQyIAgGoAgS4AtaL6LUGwAIB0gIkNjdiNjQ5ZmQtMzJlYy00NmE1LThhOGUtMmU0ZmUyYTgxZjIz2AIG4AIB&amp;sid=d0e7b2a1316f88f544ee0e1e96c3d09e&amp;all_sr_blocks=1064978102_378886255_2_0_0;checkin=2024-11-22;checkout=2024-11-23;dest_id=900058844;dest_type=city;dist=0;group_adults=2;group_children=0;hapos=22;highlighted_blocks=1064978102_378886255_2_0_0;hpos=22;matching_block_id=1064978102_378886255_2_0_0;nflt=hotelfacility%3D4%3Bhotelfacility%3D107%3Bpopular_activities%3D63%3Bht_id%3D220%3Bht_id%3D213;no_rooms=1;req_adults=2;req_children=0;room1=A%2CA;sb_price_type=total;sr_order=popularity;sr_pri_blocks=1064978102_378886255_2_0_0__26535600;srepoch=1723467604;srpvid=4deb5b36216c05f2;type=total;ucfs=1&amp;" xr:uid="{5B0D3E21-6F9E-4CD0-99A6-8D124A0D58E4}"/>
    <hyperlink ref="B117" r:id="rId64" location="no_availability_msg" display="https://www.booking.com/hotel/co/the-boato-el-penol1.es.html?label=gen173nr-1BCAEoggI46AdIM1gEaDKIAQGYAQq4ARfIARXYAQHoAQGIAgGoAgO4Auv6ubkGwAIB0gIkNDIxYWRlNzgtZGMxNy00ZTRiLWI1OTctZWE2NjQ2MGNiNGE52AIF4AIB&amp;sid=4b0d2a11a7f716ea1fbbcbbef9dba78d&amp;aid=304142&amp;ucfs=1&amp;arphpl=1&amp;checkin=2024-11-15&amp;checkout=2024-11-22&amp;dest_id=6718999&amp;dest_type=hotel&amp;group_adults=2&amp;req_adults=2&amp;no_rooms=1&amp;group_children=0&amp;req_children=0&amp;hpos=1&amp;hapos=1&amp;sr_order=popularity&amp;srpvid=d59694989193006b&amp;srepoch=1731100085&amp;soh=1&amp;from_sustainable_property_sr=1&amp;from=searchresults - no_availability_msg" xr:uid="{4B01830B-1238-4C56-8439-66C4E9041E26}"/>
    <hyperlink ref="B118" r:id="rId65" display="https://www.booking.com/hotel/co/donde-emilio.es.html?label=donde-emilio-i0x99QCjWAOLmeFKXo5FEgS338549907995%3Apl%3Ata%3Ap1%3Ap2%3Aac%3Aap%3Aneg%3Afi%3Atikwd-416223141545%3Alp20198%3Ali%3Adec%3Adm%3Appccp%3DUmFuZG9tSVYkc2RlIyh9YavywThF4buZaN3e9Rle2iM&amp;sid=93fa566f322f808be7ab10c4661acff5&amp;gclid=Cj0KCQiAqL28BhCrARIsACYJvkd9OSEjtUBlVsX9mL-8710AbDRxkU1Tiz-xy9uGOYjyQ14Pz4G-0tMaAiJFEALw_wcB&amp;aid=311839&amp;ucfs=1&amp;arphpl=1&amp;checkin=2025-01-22&amp;checkout=2025-01-23&amp;dest_id=-594819&amp;dest_type=city&amp;group_adults=2&amp;req_adults=2&amp;no_rooms=1&amp;group_children=0&amp;req_children=0&amp;hpos=1&amp;hapos=1&amp;sr_order=popularity&amp;srpvid=eaf06b059e1f02b9&amp;srepoch=1737471974&amp;all_sr_blocks=218147808_97676213_2_1_0&amp;highlighted_blocks=218147808_97676213_2_1_0&amp;matching_block_id=218147808_97676213_2_1_0&amp;sr_pri_blocks=218147808_97676213_2_1_0__18000000&amp;from=searchresults" xr:uid="{C7C90B92-3340-4783-90C3-1C243C9CAEE2}"/>
    <hyperlink ref="B119" r:id="rId66" location="no_availability_msg" display="https://www.booking.com/hotel/co/zi-one-luxury.es.html?label=zi-one-luxury-oNsdptaPsADFCtBBnQ596AS161719027587%3Apl%3Ata%3Ap1%3Ap2%3Aac%3Aap%3Aneg%3Afi%3Atikwd-483575388886%3Alp20198%3Ali%3Adec%3Adm%3Appccp%3DUmFuZG9tSVYkc2RlIyh9YavywThF4buZaN3e9Rle2iM&amp;sid=93fa566f322f808be7ab10c4661acff5&amp;gclid=Cj0KCQiAqL28BhCrARIsACYJvkdkT68TJwpyGwoZ-Is7xODNdTPaPWopchtnwen0IvzvZwLE_-g1zvYaAiNyEALw_wcB&amp;aid=311839&amp;ucfs=1&amp;arphpl=1&amp;checkin=2025-01-22&amp;checkout=2025-01-23&amp;dest_id=-594819&amp;dest_type=city&amp;group_adults=2&amp;req_adults=2&amp;no_rooms=1&amp;group_children=0&amp;req_children=0&amp;hpos=1&amp;hapos=1&amp;sr_order=popularity&amp;srpvid=ab306b1e86530159&amp;srepoch=1737472047&amp;soh=1&amp;from=searchresults - no_availability_msg" xr:uid="{07A247E6-3AAD-430E-9850-0BBC6D42A8FC}"/>
    <hyperlink ref="B121" r:id="rId67" display="https://www.booking.com/hotel/co/elite-rentar-apartamentos-amoblados.es.html?label=gog235jc-1DCAsoMkIjZWxpdGUtcmVudGFyLWFwYXJ0YW1lbnRvcy1hbW9ibGFkb3NIClgDaDKIAQGYAQq4ARjIAQzYAQPoAQH4AQKIAgGoAgS4AqX0vrwGwAIB0gIkYzZhZDc2NDktMmQ1Yi00ZjA1LWJlMTQtYjYzODY1MDU4MTg42AIE4AIB&amp;sid=93fa566f322f808be7ab10c4661acff5&amp;aid=356980&amp;ucfs=1&amp;arphpl=1&amp;checkin=2025-01-22&amp;checkout=2025-01-23&amp;dest_id=-594819&amp;dest_type=city&amp;group_adults=2&amp;req_adults=2&amp;no_rooms=1&amp;group_children=0&amp;req_children=0&amp;hpos=1&amp;hapos=1&amp;sr_order=popularity&amp;srpvid=71f06b53515a0d36&amp;srepoch=1737472133&amp;all_sr_blocks=190780812_92863450_2_0_0&amp;highlighted_blocks=190780812_92863450_2_0_0&amp;matching_block_id=190780812_92863450_2_0_0&amp;sr_pri_blocks=190780812_92863450_2_0_0__20000000&amp;from=searchresults" xr:uid="{24A835BF-AE59-4FF2-BA9B-A300300BFDE2}"/>
    <hyperlink ref="B122" r:id="rId68" display="https://www.booking.com/hotel/co/gran.es.html?label=gran-X4YX6sTCDCs23IRITCP36AS175910999482%3Apl%3Ata%3Ap1%3Ap2%3Aac%3Aap%3Aneg%3Afi%3Atikwd-11613199358%3Alp20198%3Ali%3Adec%3Adm%3Appccp%3DUmFuZG9tSVYkc2RlIyh9YavywThF4buZaN3e9Rle2iM&amp;sid=93fa566f322f808be7ab10c4661acff5&amp;gclid=Cj0KCQiAqL28BhCrARIsACYJvkdKe8f01L6CQflBaSsFBpuUD99w92mvv7dYGWODvd_0nRgTn396fRYaAnn1EALw_wcB&amp;aid=311839&amp;ucfs=1&amp;arphpl=1&amp;checkin=2025-01-22&amp;checkout=2025-01-23&amp;dest_id=-594819&amp;dest_type=city&amp;group_adults=2&amp;req_adults=2&amp;no_rooms=1&amp;group_children=0&amp;req_children=0&amp;hpos=1&amp;hapos=1&amp;sr_order=popularity&amp;srpvid=ffac6b69819d028a&amp;srepoch=1737472174&amp;all_sr_blocks=28152902_90970939_2_41_0&amp;highlighted_blocks=28152902_90970939_2_41_0&amp;matching_block_id=28152902_90970939_2_41_0&amp;sr_pri_blocks=28152902_90970939_2_41_0__25215300&amp;from=searchresults" xr:uid="{1539C865-ACB5-46FA-A9F4-09BF72F3262A}"/>
    <hyperlink ref="B123" r:id="rId69" display="https://www.booking.com/hotel/co/abadia-plaza.es.html?label=abadia-plaza-mjGwQUTG8irIY4AXU8XqvwS388433469787%3Apl%3Ata%3Ap1%3Ap2%3Aac%3Aap%3Aneg%3Afi%3Atikwd-395006989431%3Alp20198%3Ali%3Adec%3Adm%3Appccp%3DUmFuZG9tSVYkc2RlIyh9YavywThF4buZaN3e9Rle2iM&amp;sid=93fa566f322f808be7ab10c4661acff5&amp;gclid=Cj0KCQiAqL28BhCrARIsACYJvkeMPjsafT0SPltD-m3XuDLlSEQ0Rx732-PRvpp8y793gxDVk7ar-pEaAnPoEALw_wcB&amp;aid=311839&amp;ucfs=1&amp;arphpl=1&amp;checkin=2025-01-22&amp;checkout=2025-01-23&amp;dest_id=-594819&amp;dest_type=city&amp;group_adults=2&amp;req_adults=2&amp;no_rooms=1&amp;group_children=0&amp;req_children=0&amp;hpos=1&amp;hapos=1&amp;sr_order=popularity&amp;srpvid=4a346b85cd4f0252&amp;srepoch=1737472231&amp;all_sr_blocks=31076201_200143261_0_1_0_537544&amp;highlighted_blocks=31076201_200143261_0_1_0_537544&amp;matching_block_id=31076201_200143261_0_1_0_537544&amp;sr_pri_blocks=31076201_200143261_0_1_0_537544_29900000&amp;from=searchresults" xr:uid="{13CA17C9-FE36-41AB-B3B5-1E9FE9525E68}"/>
    <hyperlink ref="B124" r:id="rId70" display="https://www.booking.com/hotel/ec/luxor-plaza-h-amp-s.es.html?label=abadia-plaza-mjGwQUTG8irIY4AXU8XqvwS388433469787%3Apl%3Ata%3Ap1%3Ap2%3Aac%3Aap%3Aneg%3Afi%3Atikwd-395006989431%3Alp20198%3Ali%3Adec%3Adm%3Appccp%3DUmFuZG9tSVYkc2RlIyh9YavywThF4buZaN3e9Rle2iM&amp;sid=93fa566f322f808be7ab10c4661acff5&amp;aid=311839&amp;ucfs=1&amp;arphpl=1&amp;checkin=2025-01-22&amp;checkout=2025-01-23&amp;dest_id=9477160&amp;dest_type=hotel&amp;group_adults=2&amp;req_adults=2&amp;no_rooms=1&amp;group_children=0&amp;req_children=0&amp;hpos=1&amp;hapos=1&amp;sr_order=popularity&amp;srpvid=ffac6b9650fb0715&amp;srepoch=1737472262&amp;all_sr_blocks=947716001_404523241_3_1_0_731294&amp;highlighted_blocks=947716001_404523241_3_1_0_731294&amp;matching_block_id=947716001_404523241_3_1_0_731294&amp;sr_pri_blocks=947716001_404523241_3_1_0_731294_8800&amp;from=searchresults" xr:uid="{44E1BD80-B749-4C46-A63C-DD801AF6B7F9}"/>
    <hyperlink ref="B125" r:id="rId71" display="https://www.booking.com/hotel/co/guatatur.es.html?label=English_Colombia_EN_CO_29562107545-_WDZKP6aira3zHoJLRwvgQS217246346796%3Apl%3Ata%3Ap1%3Ap2%3Aac%3Aap%3Aneg%3Afi55625023303%3Atidsa-323233910078%3Alp20198%3Ali%3Adec%3Adm&amp;sid=93fa566f322f808be7ab10c4661acff5&amp;aid=318615&amp;ucfs=1&amp;arphpl=1&amp;dest_id=315537&amp;dest_type=hotel&amp;group_adults=2&amp;req_adults=2&amp;no_rooms=1&amp;group_children=0&amp;req_children=0&amp;hpos=1&amp;hapos=1&amp;sr_order=popularity&amp;srpvid=4a3461770b430677&amp;srepoch=1739800307&amp;from=searchresults" xr:uid="{67CA0F9E-B237-4844-A5CE-0FF965E003BB}"/>
    <hyperlink ref="B126" r:id="rId72" display="https://www.booking.com/hotel/co/real-guatape.es.html?label=gog235jc-1DCAsoMkIaYnJpc2FzLWRlLWd1YXRhcGUtZ3VhdGFwZTNIClgDaDKIAQGYAQq4ARjIAQzYAQPoAQH4AQKIAgGoAgS4Aq3_zL0GwAIB0gIkMjEwMDkwOWEtOWQ3NC00MWEyLThiNWUtNDM0MDcxZTU1ZDVk2AIE4AIB&amp;sid=93fa566f322f808be7ab10c4661acff5&amp;aid=356980&amp;ucfs=1&amp;arphpl=1&amp;checkin=2025-02-17&amp;checkout=2025-02-18&amp;dest_id=-585862&amp;dest_type=city&amp;group_adults=2&amp;req_adults=2&amp;no_rooms=1&amp;group_children=0&amp;req_children=0&amp;hpos=5&amp;hapos=5&amp;sr_order=popularity&amp;srpvid=6c4561d79bd9015a&amp;srepoch=1739800500&amp;all_sr_blocks=252263301_388495230_2_0_0&amp;highlighted_blocks=252263301_388495230_2_0_0&amp;matching_block_id=252263301_388495230_2_0_0&amp;sr_pri_blocks=252263301_388495230_2_0_0__6535920&amp;from=searchresults" xr:uid="{AF73F7DA-AE73-4805-9C9B-F23DCC6F4D9B}"/>
  </hyperlinks>
  <pageMargins left="0.7" right="0.7" top="0.75" bottom="0.75" header="0.3" footer="0.3"/>
  <pageSetup paperSize="9" orientation="portrait" r:id="rId73"/>
  <tableParts count="1">
    <tablePart r:id="rId7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76F2-6A77-4C34-8EDA-976C834D1280}">
  <dimension ref="A1:G757"/>
  <sheetViews>
    <sheetView showGridLines="0" tabSelected="1" zoomScale="73" zoomScaleNormal="73" workbookViewId="0">
      <pane ySplit="1" topLeftCell="A126" activePane="bottomLeft" state="frozen"/>
      <selection pane="bottomLeft" activeCell="E128" sqref="E128"/>
    </sheetView>
  </sheetViews>
  <sheetFormatPr baseColWidth="10" defaultRowHeight="14.4" x14ac:dyDescent="0.3"/>
  <cols>
    <col min="1" max="1" width="21.6640625" bestFit="1" customWidth="1"/>
    <col min="2" max="2" width="52.88671875" bestFit="1" customWidth="1"/>
    <col min="3" max="3" width="14" bestFit="1" customWidth="1"/>
    <col min="4" max="4" width="12.6640625" bestFit="1" customWidth="1"/>
    <col min="5" max="5" width="11.44140625" bestFit="1" customWidth="1"/>
    <col min="6" max="6" width="15.33203125" customWidth="1"/>
  </cols>
  <sheetData>
    <row r="1" spans="1:7" x14ac:dyDescent="0.3">
      <c r="A1" t="s">
        <v>2</v>
      </c>
      <c r="B1" t="s">
        <v>0</v>
      </c>
      <c r="C1" t="s">
        <v>3</v>
      </c>
      <c r="D1" t="s">
        <v>131</v>
      </c>
      <c r="E1" t="s">
        <v>132</v>
      </c>
      <c r="F1" t="s">
        <v>133</v>
      </c>
      <c r="G1" t="s">
        <v>134</v>
      </c>
    </row>
    <row r="2" spans="1:7" x14ac:dyDescent="0.3">
      <c r="A2" t="s">
        <v>4</v>
      </c>
      <c r="B2" t="s">
        <v>44</v>
      </c>
      <c r="C2">
        <v>33</v>
      </c>
      <c r="D2">
        <f ca="1">+RANDBETWEEN(1,33)</f>
        <v>32</v>
      </c>
      <c r="E2" s="15">
        <v>200000</v>
      </c>
      <c r="F2" s="15">
        <f ca="1">+Cliente2[[#This Row],[Ocupadas]]*Cliente2[[#This Row],[Tarifa]]</f>
        <v>6400000</v>
      </c>
      <c r="G2" s="14">
        <v>45736</v>
      </c>
    </row>
    <row r="3" spans="1:7" x14ac:dyDescent="0.3">
      <c r="A3" t="str">
        <f t="shared" ref="A3:A43" si="0">+A2</f>
        <v>Mariquita</v>
      </c>
      <c r="B3" t="str">
        <f t="shared" ref="B3:B43" si="1">+B2</f>
        <v>Hotel Brisas La Gaviota Mariquit-Tolima</v>
      </c>
      <c r="C3">
        <v>33</v>
      </c>
      <c r="D3">
        <f t="shared" ref="D3:D8" ca="1" si="2">+RANDBETWEEN(1,33)</f>
        <v>16</v>
      </c>
      <c r="E3" s="15">
        <v>200000</v>
      </c>
      <c r="F3" s="15">
        <f ca="1">+Cliente2[[#This Row],[Ocupadas]]*Cliente2[[#This Row],[Tarifa]]</f>
        <v>3200000</v>
      </c>
      <c r="G3" s="14">
        <v>45737</v>
      </c>
    </row>
    <row r="4" spans="1:7" x14ac:dyDescent="0.3">
      <c r="A4" t="str">
        <f t="shared" si="0"/>
        <v>Mariquita</v>
      </c>
      <c r="B4" t="str">
        <f t="shared" si="1"/>
        <v>Hotel Brisas La Gaviota Mariquit-Tolima</v>
      </c>
      <c r="C4">
        <v>33</v>
      </c>
      <c r="D4">
        <f t="shared" ca="1" si="2"/>
        <v>21</v>
      </c>
      <c r="E4" s="15">
        <v>250000</v>
      </c>
      <c r="F4" s="15">
        <f ca="1">+Cliente2[[#This Row],[Ocupadas]]*Cliente2[[#This Row],[Tarifa]]</f>
        <v>5250000</v>
      </c>
      <c r="G4" s="14">
        <v>45738</v>
      </c>
    </row>
    <row r="5" spans="1:7" x14ac:dyDescent="0.3">
      <c r="A5" t="str">
        <f t="shared" si="0"/>
        <v>Mariquita</v>
      </c>
      <c r="B5" t="str">
        <f t="shared" si="1"/>
        <v>Hotel Brisas La Gaviota Mariquit-Tolima</v>
      </c>
      <c r="C5">
        <v>33</v>
      </c>
      <c r="D5">
        <f t="shared" ca="1" si="2"/>
        <v>8</v>
      </c>
      <c r="E5" s="15">
        <v>250000</v>
      </c>
      <c r="F5" s="15">
        <f ca="1">+Cliente2[[#This Row],[Ocupadas]]*Cliente2[[#This Row],[Tarifa]]</f>
        <v>2000000</v>
      </c>
      <c r="G5" s="14">
        <v>45739</v>
      </c>
    </row>
    <row r="6" spans="1:7" x14ac:dyDescent="0.3">
      <c r="A6" t="str">
        <f t="shared" si="0"/>
        <v>Mariquita</v>
      </c>
      <c r="B6" t="str">
        <f t="shared" si="1"/>
        <v>Hotel Brisas La Gaviota Mariquit-Tolima</v>
      </c>
      <c r="C6">
        <v>33</v>
      </c>
      <c r="D6">
        <f t="shared" ca="1" si="2"/>
        <v>10</v>
      </c>
      <c r="E6" s="15">
        <v>250000</v>
      </c>
      <c r="F6" s="15">
        <f ca="1">+Cliente2[[#This Row],[Ocupadas]]*Cliente2[[#This Row],[Tarifa]]</f>
        <v>2500000</v>
      </c>
      <c r="G6" s="14">
        <v>45740</v>
      </c>
    </row>
    <row r="7" spans="1:7" x14ac:dyDescent="0.3">
      <c r="A7" t="str">
        <f t="shared" si="0"/>
        <v>Mariquita</v>
      </c>
      <c r="B7" t="str">
        <f t="shared" si="1"/>
        <v>Hotel Brisas La Gaviota Mariquit-Tolima</v>
      </c>
      <c r="C7">
        <v>33</v>
      </c>
      <c r="D7">
        <f t="shared" ca="1" si="2"/>
        <v>13</v>
      </c>
      <c r="E7" s="15">
        <v>250000</v>
      </c>
      <c r="F7" s="15">
        <f ca="1">+Cliente2[[#This Row],[Ocupadas]]*Cliente2[[#This Row],[Tarifa]]</f>
        <v>3250000</v>
      </c>
      <c r="G7" s="14">
        <v>45741</v>
      </c>
    </row>
    <row r="8" spans="1:7" x14ac:dyDescent="0.3">
      <c r="A8" t="str">
        <f t="shared" si="0"/>
        <v>Mariquita</v>
      </c>
      <c r="B8" t="str">
        <f t="shared" si="1"/>
        <v>Hotel Brisas La Gaviota Mariquit-Tolima</v>
      </c>
      <c r="C8">
        <v>33</v>
      </c>
      <c r="D8">
        <f t="shared" ca="1" si="2"/>
        <v>30</v>
      </c>
      <c r="E8" s="15">
        <v>250000</v>
      </c>
      <c r="F8" s="15">
        <f ca="1">+Cliente2[[#This Row],[Ocupadas]]*Cliente2[[#This Row],[Tarifa]]</f>
        <v>7500000</v>
      </c>
      <c r="G8" s="14">
        <v>45742</v>
      </c>
    </row>
    <row r="9" spans="1:7" x14ac:dyDescent="0.3">
      <c r="A9" t="str">
        <f t="shared" si="0"/>
        <v>Mariquita</v>
      </c>
      <c r="B9" t="str">
        <f t="shared" si="1"/>
        <v>Hotel Brisas La Gaviota Mariquit-Tolima</v>
      </c>
      <c r="C9">
        <v>33</v>
      </c>
      <c r="D9">
        <f t="shared" ref="D9:D22" ca="1" si="3">+RANDBETWEEN(1,33)</f>
        <v>25</v>
      </c>
      <c r="E9" s="15">
        <v>250000</v>
      </c>
      <c r="F9" s="15">
        <f ca="1">+Cliente2[[#This Row],[Ocupadas]]*Cliente2[[#This Row],[Tarifa]]</f>
        <v>6250000</v>
      </c>
      <c r="G9" s="14">
        <v>45743</v>
      </c>
    </row>
    <row r="10" spans="1:7" x14ac:dyDescent="0.3">
      <c r="A10" t="str">
        <f t="shared" si="0"/>
        <v>Mariquita</v>
      </c>
      <c r="B10" t="str">
        <f t="shared" si="1"/>
        <v>Hotel Brisas La Gaviota Mariquit-Tolima</v>
      </c>
      <c r="C10">
        <v>33</v>
      </c>
      <c r="D10">
        <f t="shared" ca="1" si="3"/>
        <v>13</v>
      </c>
      <c r="E10" s="15">
        <v>250000</v>
      </c>
      <c r="F10" s="15">
        <f ca="1">+Cliente2[[#This Row],[Ocupadas]]*Cliente2[[#This Row],[Tarifa]]</f>
        <v>3250000</v>
      </c>
      <c r="G10" s="14">
        <v>45744</v>
      </c>
    </row>
    <row r="11" spans="1:7" x14ac:dyDescent="0.3">
      <c r="A11" t="str">
        <f t="shared" si="0"/>
        <v>Mariquita</v>
      </c>
      <c r="B11" t="str">
        <f t="shared" si="1"/>
        <v>Hotel Brisas La Gaviota Mariquit-Tolima</v>
      </c>
      <c r="C11">
        <v>33</v>
      </c>
      <c r="D11">
        <f t="shared" ca="1" si="3"/>
        <v>18</v>
      </c>
      <c r="E11" s="15">
        <v>250000</v>
      </c>
      <c r="F11" s="15">
        <f ca="1">+Cliente2[[#This Row],[Ocupadas]]*Cliente2[[#This Row],[Tarifa]]</f>
        <v>4500000</v>
      </c>
      <c r="G11" s="14">
        <v>45745</v>
      </c>
    </row>
    <row r="12" spans="1:7" x14ac:dyDescent="0.3">
      <c r="A12" t="str">
        <f t="shared" si="0"/>
        <v>Mariquita</v>
      </c>
      <c r="B12" t="str">
        <f t="shared" si="1"/>
        <v>Hotel Brisas La Gaviota Mariquit-Tolima</v>
      </c>
      <c r="C12">
        <v>33</v>
      </c>
      <c r="D12">
        <f t="shared" ca="1" si="3"/>
        <v>14</v>
      </c>
      <c r="E12" s="15">
        <v>250000</v>
      </c>
      <c r="F12" s="15">
        <f ca="1">+Cliente2[[#This Row],[Ocupadas]]*Cliente2[[#This Row],[Tarifa]]</f>
        <v>3500000</v>
      </c>
      <c r="G12" s="14">
        <v>45746</v>
      </c>
    </row>
    <row r="13" spans="1:7" x14ac:dyDescent="0.3">
      <c r="A13" t="str">
        <f t="shared" si="0"/>
        <v>Mariquita</v>
      </c>
      <c r="B13" t="str">
        <f t="shared" si="1"/>
        <v>Hotel Brisas La Gaviota Mariquit-Tolima</v>
      </c>
      <c r="C13">
        <v>33</v>
      </c>
      <c r="D13">
        <f t="shared" ca="1" si="3"/>
        <v>24</v>
      </c>
      <c r="E13" s="15">
        <v>250000</v>
      </c>
      <c r="F13" s="15">
        <f ca="1">+Cliente2[[#This Row],[Ocupadas]]*Cliente2[[#This Row],[Tarifa]]</f>
        <v>6000000</v>
      </c>
      <c r="G13" s="14">
        <v>45747</v>
      </c>
    </row>
    <row r="14" spans="1:7" x14ac:dyDescent="0.3">
      <c r="A14" t="str">
        <f t="shared" si="0"/>
        <v>Mariquita</v>
      </c>
      <c r="B14" t="str">
        <f t="shared" si="1"/>
        <v>Hotel Brisas La Gaviota Mariquit-Tolima</v>
      </c>
      <c r="C14">
        <v>33</v>
      </c>
      <c r="D14">
        <f t="shared" ca="1" si="3"/>
        <v>17</v>
      </c>
      <c r="E14" s="15">
        <v>250000</v>
      </c>
      <c r="F14" s="15">
        <f ca="1">+Cliente2[[#This Row],[Ocupadas]]*Cliente2[[#This Row],[Tarifa]]</f>
        <v>4250000</v>
      </c>
      <c r="G14" s="14">
        <v>45748</v>
      </c>
    </row>
    <row r="15" spans="1:7" x14ac:dyDescent="0.3">
      <c r="A15" t="str">
        <f t="shared" si="0"/>
        <v>Mariquita</v>
      </c>
      <c r="B15" t="str">
        <f t="shared" si="1"/>
        <v>Hotel Brisas La Gaviota Mariquit-Tolima</v>
      </c>
      <c r="C15">
        <v>33</v>
      </c>
      <c r="D15">
        <f t="shared" ca="1" si="3"/>
        <v>31</v>
      </c>
      <c r="E15" s="15">
        <v>250000</v>
      </c>
      <c r="F15" s="15">
        <f ca="1">+Cliente2[[#This Row],[Ocupadas]]*Cliente2[[#This Row],[Tarifa]]</f>
        <v>7750000</v>
      </c>
      <c r="G15" s="14">
        <v>45749</v>
      </c>
    </row>
    <row r="16" spans="1:7" x14ac:dyDescent="0.3">
      <c r="A16" t="str">
        <f t="shared" si="0"/>
        <v>Mariquita</v>
      </c>
      <c r="B16" t="str">
        <f t="shared" si="1"/>
        <v>Hotel Brisas La Gaviota Mariquit-Tolima</v>
      </c>
      <c r="C16">
        <v>33</v>
      </c>
      <c r="D16">
        <f t="shared" ca="1" si="3"/>
        <v>29</v>
      </c>
      <c r="E16" s="15">
        <v>350000</v>
      </c>
      <c r="F16" s="15">
        <f ca="1">+Cliente2[[#This Row],[Ocupadas]]*Cliente2[[#This Row],[Tarifa]]</f>
        <v>10150000</v>
      </c>
      <c r="G16" s="14">
        <v>45750</v>
      </c>
    </row>
    <row r="17" spans="1:7" x14ac:dyDescent="0.3">
      <c r="A17" t="str">
        <f t="shared" si="0"/>
        <v>Mariquita</v>
      </c>
      <c r="B17" t="str">
        <f t="shared" si="1"/>
        <v>Hotel Brisas La Gaviota Mariquit-Tolima</v>
      </c>
      <c r="C17">
        <v>33</v>
      </c>
      <c r="D17">
        <f t="shared" ca="1" si="3"/>
        <v>21</v>
      </c>
      <c r="E17" s="15">
        <v>250000</v>
      </c>
      <c r="F17" s="15">
        <f ca="1">+Cliente2[[#This Row],[Ocupadas]]*Cliente2[[#This Row],[Tarifa]]</f>
        <v>5250000</v>
      </c>
      <c r="G17" s="14">
        <v>45751</v>
      </c>
    </row>
    <row r="18" spans="1:7" x14ac:dyDescent="0.3">
      <c r="A18" t="str">
        <f t="shared" si="0"/>
        <v>Mariquita</v>
      </c>
      <c r="B18" t="str">
        <f t="shared" si="1"/>
        <v>Hotel Brisas La Gaviota Mariquit-Tolima</v>
      </c>
      <c r="C18">
        <v>33</v>
      </c>
      <c r="D18">
        <f t="shared" ca="1" si="3"/>
        <v>24</v>
      </c>
      <c r="E18" s="15">
        <v>250000</v>
      </c>
      <c r="F18" s="15">
        <f ca="1">+Cliente2[[#This Row],[Ocupadas]]*Cliente2[[#This Row],[Tarifa]]</f>
        <v>6000000</v>
      </c>
      <c r="G18" s="14">
        <v>45752</v>
      </c>
    </row>
    <row r="19" spans="1:7" x14ac:dyDescent="0.3">
      <c r="A19" t="str">
        <f t="shared" si="0"/>
        <v>Mariquita</v>
      </c>
      <c r="B19" t="str">
        <f t="shared" si="1"/>
        <v>Hotel Brisas La Gaviota Mariquit-Tolima</v>
      </c>
      <c r="C19">
        <v>33</v>
      </c>
      <c r="D19">
        <f t="shared" ca="1" si="3"/>
        <v>21</v>
      </c>
      <c r="E19" s="15">
        <v>300000</v>
      </c>
      <c r="F19" s="15">
        <f ca="1">+Cliente2[[#This Row],[Ocupadas]]*Cliente2[[#This Row],[Tarifa]]</f>
        <v>6300000</v>
      </c>
      <c r="G19" s="14">
        <v>45753</v>
      </c>
    </row>
    <row r="20" spans="1:7" x14ac:dyDescent="0.3">
      <c r="A20" t="str">
        <f t="shared" si="0"/>
        <v>Mariquita</v>
      </c>
      <c r="B20" t="str">
        <f t="shared" si="1"/>
        <v>Hotel Brisas La Gaviota Mariquit-Tolima</v>
      </c>
      <c r="C20">
        <v>33</v>
      </c>
      <c r="D20">
        <f t="shared" ca="1" si="3"/>
        <v>29</v>
      </c>
      <c r="E20" s="15">
        <v>350000</v>
      </c>
      <c r="F20" s="15">
        <f ca="1">+Cliente2[[#This Row],[Ocupadas]]*Cliente2[[#This Row],[Tarifa]]</f>
        <v>10150000</v>
      </c>
      <c r="G20" s="14">
        <v>45754</v>
      </c>
    </row>
    <row r="21" spans="1:7" x14ac:dyDescent="0.3">
      <c r="A21" t="str">
        <f t="shared" si="0"/>
        <v>Mariquita</v>
      </c>
      <c r="B21" t="str">
        <f t="shared" si="1"/>
        <v>Hotel Brisas La Gaviota Mariquit-Tolima</v>
      </c>
      <c r="C21">
        <v>33</v>
      </c>
      <c r="D21">
        <f t="shared" ca="1" si="3"/>
        <v>13</v>
      </c>
      <c r="E21" s="15">
        <v>350000</v>
      </c>
      <c r="F21" s="15">
        <f ca="1">+Cliente2[[#This Row],[Ocupadas]]*Cliente2[[#This Row],[Tarifa]]</f>
        <v>4550000</v>
      </c>
      <c r="G21" s="14">
        <v>45755</v>
      </c>
    </row>
    <row r="22" spans="1:7" x14ac:dyDescent="0.3">
      <c r="A22" t="str">
        <f t="shared" si="0"/>
        <v>Mariquita</v>
      </c>
      <c r="B22" t="str">
        <f t="shared" si="1"/>
        <v>Hotel Brisas La Gaviota Mariquit-Tolima</v>
      </c>
      <c r="C22">
        <v>33</v>
      </c>
      <c r="D22">
        <f t="shared" ca="1" si="3"/>
        <v>26</v>
      </c>
      <c r="E22" s="15">
        <v>350000</v>
      </c>
      <c r="F22" s="15">
        <f ca="1">+Cliente2[[#This Row],[Ocupadas]]*Cliente2[[#This Row],[Tarifa]]</f>
        <v>9100000</v>
      </c>
      <c r="G22" s="14">
        <v>45756</v>
      </c>
    </row>
    <row r="23" spans="1:7" x14ac:dyDescent="0.3">
      <c r="A23" t="str">
        <f t="shared" si="0"/>
        <v>Mariquita</v>
      </c>
      <c r="B23" t="str">
        <f t="shared" si="1"/>
        <v>Hotel Brisas La Gaviota Mariquit-Tolima</v>
      </c>
      <c r="E23" s="15"/>
      <c r="F23" s="15"/>
      <c r="G23" s="14">
        <v>45757</v>
      </c>
    </row>
    <row r="24" spans="1:7" x14ac:dyDescent="0.3">
      <c r="A24" t="str">
        <f t="shared" si="0"/>
        <v>Mariquita</v>
      </c>
      <c r="B24" t="str">
        <f t="shared" si="1"/>
        <v>Hotel Brisas La Gaviota Mariquit-Tolima</v>
      </c>
      <c r="E24" s="15"/>
      <c r="F24" s="15"/>
      <c r="G24" s="14">
        <v>45758</v>
      </c>
    </row>
    <row r="25" spans="1:7" x14ac:dyDescent="0.3">
      <c r="A25" t="str">
        <f t="shared" si="0"/>
        <v>Mariquita</v>
      </c>
      <c r="B25" t="str">
        <f t="shared" si="1"/>
        <v>Hotel Brisas La Gaviota Mariquit-Tolima</v>
      </c>
      <c r="E25" s="15"/>
      <c r="F25" s="15"/>
      <c r="G25" s="14">
        <v>45759</v>
      </c>
    </row>
    <row r="26" spans="1:7" x14ac:dyDescent="0.3">
      <c r="A26" t="str">
        <f t="shared" si="0"/>
        <v>Mariquita</v>
      </c>
      <c r="B26" t="str">
        <f t="shared" si="1"/>
        <v>Hotel Brisas La Gaviota Mariquit-Tolima</v>
      </c>
      <c r="E26" s="15"/>
      <c r="F26" s="15"/>
      <c r="G26" s="14">
        <v>45760</v>
      </c>
    </row>
    <row r="27" spans="1:7" x14ac:dyDescent="0.3">
      <c r="A27" t="str">
        <f t="shared" si="0"/>
        <v>Mariquita</v>
      </c>
      <c r="B27" t="str">
        <f t="shared" si="1"/>
        <v>Hotel Brisas La Gaviota Mariquit-Tolima</v>
      </c>
      <c r="E27" s="15"/>
      <c r="F27" s="15"/>
      <c r="G27" s="14">
        <v>45761</v>
      </c>
    </row>
    <row r="28" spans="1:7" x14ac:dyDescent="0.3">
      <c r="A28" t="str">
        <f t="shared" si="0"/>
        <v>Mariquita</v>
      </c>
      <c r="B28" t="str">
        <f t="shared" si="1"/>
        <v>Hotel Brisas La Gaviota Mariquit-Tolima</v>
      </c>
      <c r="E28" s="15"/>
      <c r="F28" s="15"/>
      <c r="G28" s="14">
        <v>45762</v>
      </c>
    </row>
    <row r="29" spans="1:7" x14ac:dyDescent="0.3">
      <c r="A29" t="str">
        <f t="shared" si="0"/>
        <v>Mariquita</v>
      </c>
      <c r="B29" t="str">
        <f t="shared" si="1"/>
        <v>Hotel Brisas La Gaviota Mariquit-Tolima</v>
      </c>
      <c r="E29" s="15"/>
      <c r="F29" s="15"/>
      <c r="G29" s="14">
        <v>45763</v>
      </c>
    </row>
    <row r="30" spans="1:7" x14ac:dyDescent="0.3">
      <c r="A30" t="str">
        <f t="shared" si="0"/>
        <v>Mariquita</v>
      </c>
      <c r="B30" t="str">
        <f t="shared" si="1"/>
        <v>Hotel Brisas La Gaviota Mariquit-Tolima</v>
      </c>
      <c r="E30" s="15"/>
      <c r="F30" s="15"/>
      <c r="G30" s="14">
        <v>45764</v>
      </c>
    </row>
    <row r="31" spans="1:7" x14ac:dyDescent="0.3">
      <c r="A31" t="str">
        <f t="shared" si="0"/>
        <v>Mariquita</v>
      </c>
      <c r="B31" t="str">
        <f t="shared" si="1"/>
        <v>Hotel Brisas La Gaviota Mariquit-Tolima</v>
      </c>
      <c r="E31" s="15"/>
      <c r="F31" s="15"/>
      <c r="G31" s="14">
        <v>45765</v>
      </c>
    </row>
    <row r="32" spans="1:7" x14ac:dyDescent="0.3">
      <c r="A32" t="str">
        <f t="shared" si="0"/>
        <v>Mariquita</v>
      </c>
      <c r="B32" t="str">
        <f t="shared" si="1"/>
        <v>Hotel Brisas La Gaviota Mariquit-Tolima</v>
      </c>
      <c r="E32" s="15"/>
      <c r="F32" s="15"/>
      <c r="G32" s="14">
        <v>45766</v>
      </c>
    </row>
    <row r="33" spans="1:7" x14ac:dyDescent="0.3">
      <c r="A33" t="str">
        <f t="shared" si="0"/>
        <v>Mariquita</v>
      </c>
      <c r="B33" t="str">
        <f t="shared" si="1"/>
        <v>Hotel Brisas La Gaviota Mariquit-Tolima</v>
      </c>
      <c r="E33" s="15"/>
      <c r="F33" s="15"/>
      <c r="G33" s="14">
        <v>45767</v>
      </c>
    </row>
    <row r="34" spans="1:7" x14ac:dyDescent="0.3">
      <c r="A34" t="str">
        <f t="shared" si="0"/>
        <v>Mariquita</v>
      </c>
      <c r="B34" t="str">
        <f t="shared" si="1"/>
        <v>Hotel Brisas La Gaviota Mariquit-Tolima</v>
      </c>
      <c r="E34" s="15"/>
      <c r="F34" s="15"/>
      <c r="G34" s="14">
        <v>45768</v>
      </c>
    </row>
    <row r="35" spans="1:7" x14ac:dyDescent="0.3">
      <c r="A35" t="str">
        <f t="shared" si="0"/>
        <v>Mariquita</v>
      </c>
      <c r="B35" t="str">
        <f t="shared" si="1"/>
        <v>Hotel Brisas La Gaviota Mariquit-Tolima</v>
      </c>
      <c r="E35" s="15"/>
      <c r="F35" s="15"/>
      <c r="G35" s="14">
        <v>45769</v>
      </c>
    </row>
    <row r="36" spans="1:7" x14ac:dyDescent="0.3">
      <c r="A36" t="str">
        <f t="shared" si="0"/>
        <v>Mariquita</v>
      </c>
      <c r="B36" t="str">
        <f t="shared" si="1"/>
        <v>Hotel Brisas La Gaviota Mariquit-Tolima</v>
      </c>
      <c r="E36" s="15"/>
      <c r="F36" s="15"/>
      <c r="G36" s="14">
        <v>45770</v>
      </c>
    </row>
    <row r="37" spans="1:7" x14ac:dyDescent="0.3">
      <c r="A37" t="str">
        <f t="shared" si="0"/>
        <v>Mariquita</v>
      </c>
      <c r="B37" t="str">
        <f t="shared" si="1"/>
        <v>Hotel Brisas La Gaviota Mariquit-Tolima</v>
      </c>
      <c r="E37" s="15"/>
      <c r="F37" s="15"/>
      <c r="G37" s="14">
        <v>45771</v>
      </c>
    </row>
    <row r="38" spans="1:7" x14ac:dyDescent="0.3">
      <c r="A38" t="str">
        <f t="shared" si="0"/>
        <v>Mariquita</v>
      </c>
      <c r="B38" t="str">
        <f t="shared" si="1"/>
        <v>Hotel Brisas La Gaviota Mariquit-Tolima</v>
      </c>
      <c r="E38" s="15"/>
      <c r="F38" s="15"/>
      <c r="G38" s="14">
        <v>45772</v>
      </c>
    </row>
    <row r="39" spans="1:7" x14ac:dyDescent="0.3">
      <c r="A39" t="str">
        <f t="shared" si="0"/>
        <v>Mariquita</v>
      </c>
      <c r="B39" t="str">
        <f t="shared" si="1"/>
        <v>Hotel Brisas La Gaviota Mariquit-Tolima</v>
      </c>
      <c r="E39" s="15"/>
      <c r="F39" s="15"/>
      <c r="G39" s="14">
        <v>45773</v>
      </c>
    </row>
    <row r="40" spans="1:7" x14ac:dyDescent="0.3">
      <c r="A40" t="str">
        <f t="shared" si="0"/>
        <v>Mariquita</v>
      </c>
      <c r="B40" t="str">
        <f t="shared" si="1"/>
        <v>Hotel Brisas La Gaviota Mariquit-Tolima</v>
      </c>
      <c r="E40" s="15"/>
      <c r="F40" s="15"/>
      <c r="G40" s="14">
        <v>45774</v>
      </c>
    </row>
    <row r="41" spans="1:7" x14ac:dyDescent="0.3">
      <c r="A41" t="str">
        <f t="shared" si="0"/>
        <v>Mariquita</v>
      </c>
      <c r="B41" t="str">
        <f t="shared" si="1"/>
        <v>Hotel Brisas La Gaviota Mariquit-Tolima</v>
      </c>
      <c r="E41" s="15"/>
      <c r="F41" s="15"/>
      <c r="G41" s="14">
        <v>45775</v>
      </c>
    </row>
    <row r="42" spans="1:7" x14ac:dyDescent="0.3">
      <c r="A42" t="str">
        <f t="shared" si="0"/>
        <v>Mariquita</v>
      </c>
      <c r="B42" t="str">
        <f t="shared" si="1"/>
        <v>Hotel Brisas La Gaviota Mariquit-Tolima</v>
      </c>
      <c r="E42" s="15"/>
      <c r="F42" s="15"/>
      <c r="G42" s="14">
        <v>45776</v>
      </c>
    </row>
    <row r="43" spans="1:7" x14ac:dyDescent="0.3">
      <c r="A43" t="str">
        <f t="shared" si="0"/>
        <v>Mariquita</v>
      </c>
      <c r="B43" t="str">
        <f t="shared" si="1"/>
        <v>Hotel Brisas La Gaviota Mariquit-Tolima</v>
      </c>
      <c r="E43" s="15"/>
      <c r="F43" s="15"/>
      <c r="G43" s="14">
        <v>45777</v>
      </c>
    </row>
    <row r="44" spans="1:7" x14ac:dyDescent="0.3">
      <c r="A44" t="s">
        <v>8</v>
      </c>
      <c r="B44" t="s">
        <v>48</v>
      </c>
      <c r="E44" s="15"/>
      <c r="F44" s="15"/>
      <c r="G44" s="14">
        <v>45736</v>
      </c>
    </row>
    <row r="45" spans="1:7" x14ac:dyDescent="0.3">
      <c r="A45" t="str">
        <f t="shared" ref="A45:A85" si="4">+A44</f>
        <v>EL PEÑOL, GUATAPÉ</v>
      </c>
      <c r="B45" t="str">
        <f t="shared" ref="B45:B85" si="5">+B44</f>
        <v>Domus Glamping Guatapé</v>
      </c>
      <c r="E45" s="15"/>
      <c r="F45" s="15"/>
      <c r="G45" s="14">
        <v>45737</v>
      </c>
    </row>
    <row r="46" spans="1:7" x14ac:dyDescent="0.3">
      <c r="A46" t="str">
        <f t="shared" si="4"/>
        <v>EL PEÑOL, GUATAPÉ</v>
      </c>
      <c r="B46" t="str">
        <f t="shared" si="5"/>
        <v>Domus Glamping Guatapé</v>
      </c>
      <c r="E46" s="15"/>
      <c r="F46" s="15"/>
      <c r="G46" s="14">
        <v>45738</v>
      </c>
    </row>
    <row r="47" spans="1:7" x14ac:dyDescent="0.3">
      <c r="A47" t="str">
        <f t="shared" si="4"/>
        <v>EL PEÑOL, GUATAPÉ</v>
      </c>
      <c r="B47" t="str">
        <f t="shared" si="5"/>
        <v>Domus Glamping Guatapé</v>
      </c>
      <c r="E47" s="15"/>
      <c r="F47" s="15"/>
      <c r="G47" s="14">
        <v>45739</v>
      </c>
    </row>
    <row r="48" spans="1:7" x14ac:dyDescent="0.3">
      <c r="A48" t="str">
        <f t="shared" si="4"/>
        <v>EL PEÑOL, GUATAPÉ</v>
      </c>
      <c r="B48" t="str">
        <f t="shared" si="5"/>
        <v>Domus Glamping Guatapé</v>
      </c>
      <c r="E48" s="15"/>
      <c r="F48" s="15"/>
      <c r="G48" s="14">
        <v>45740</v>
      </c>
    </row>
    <row r="49" spans="1:7" x14ac:dyDescent="0.3">
      <c r="A49" t="str">
        <f t="shared" si="4"/>
        <v>EL PEÑOL, GUATAPÉ</v>
      </c>
      <c r="B49" t="str">
        <f t="shared" si="5"/>
        <v>Domus Glamping Guatapé</v>
      </c>
      <c r="E49" s="15"/>
      <c r="F49" s="15"/>
      <c r="G49" s="14">
        <v>45741</v>
      </c>
    </row>
    <row r="50" spans="1:7" x14ac:dyDescent="0.3">
      <c r="A50" t="str">
        <f t="shared" si="4"/>
        <v>EL PEÑOL, GUATAPÉ</v>
      </c>
      <c r="B50" t="str">
        <f t="shared" si="5"/>
        <v>Domus Glamping Guatapé</v>
      </c>
      <c r="E50" s="15"/>
      <c r="F50" s="15"/>
      <c r="G50" s="14">
        <v>45742</v>
      </c>
    </row>
    <row r="51" spans="1:7" x14ac:dyDescent="0.3">
      <c r="A51" t="str">
        <f t="shared" si="4"/>
        <v>EL PEÑOL, GUATAPÉ</v>
      </c>
      <c r="B51" t="str">
        <f t="shared" si="5"/>
        <v>Domus Glamping Guatapé</v>
      </c>
      <c r="E51" s="15"/>
      <c r="F51" s="15"/>
      <c r="G51" s="14">
        <v>45743</v>
      </c>
    </row>
    <row r="52" spans="1:7" x14ac:dyDescent="0.3">
      <c r="A52" t="str">
        <f t="shared" si="4"/>
        <v>EL PEÑOL, GUATAPÉ</v>
      </c>
      <c r="B52" t="str">
        <f t="shared" si="5"/>
        <v>Domus Glamping Guatapé</v>
      </c>
      <c r="E52" s="15"/>
      <c r="F52" s="15"/>
      <c r="G52" s="14">
        <v>45744</v>
      </c>
    </row>
    <row r="53" spans="1:7" x14ac:dyDescent="0.3">
      <c r="A53" t="str">
        <f t="shared" si="4"/>
        <v>EL PEÑOL, GUATAPÉ</v>
      </c>
      <c r="B53" t="str">
        <f t="shared" si="5"/>
        <v>Domus Glamping Guatapé</v>
      </c>
      <c r="E53" s="15"/>
      <c r="F53" s="15"/>
      <c r="G53" s="14">
        <v>45745</v>
      </c>
    </row>
    <row r="54" spans="1:7" x14ac:dyDescent="0.3">
      <c r="A54" t="str">
        <f t="shared" si="4"/>
        <v>EL PEÑOL, GUATAPÉ</v>
      </c>
      <c r="B54" t="str">
        <f t="shared" si="5"/>
        <v>Domus Glamping Guatapé</v>
      </c>
      <c r="E54" s="15"/>
      <c r="F54" s="15"/>
      <c r="G54" s="14">
        <v>45746</v>
      </c>
    </row>
    <row r="55" spans="1:7" x14ac:dyDescent="0.3">
      <c r="A55" t="str">
        <f t="shared" si="4"/>
        <v>EL PEÑOL, GUATAPÉ</v>
      </c>
      <c r="B55" t="str">
        <f t="shared" si="5"/>
        <v>Domus Glamping Guatapé</v>
      </c>
      <c r="E55" s="15"/>
      <c r="F55" s="15"/>
      <c r="G55" s="14">
        <v>45747</v>
      </c>
    </row>
    <row r="56" spans="1:7" x14ac:dyDescent="0.3">
      <c r="A56" t="str">
        <f t="shared" si="4"/>
        <v>EL PEÑOL, GUATAPÉ</v>
      </c>
      <c r="B56" t="str">
        <f t="shared" si="5"/>
        <v>Domus Glamping Guatapé</v>
      </c>
      <c r="E56" s="15"/>
      <c r="F56" s="15"/>
      <c r="G56" s="14">
        <v>45748</v>
      </c>
    </row>
    <row r="57" spans="1:7" x14ac:dyDescent="0.3">
      <c r="A57" t="str">
        <f t="shared" si="4"/>
        <v>EL PEÑOL, GUATAPÉ</v>
      </c>
      <c r="B57" t="str">
        <f t="shared" si="5"/>
        <v>Domus Glamping Guatapé</v>
      </c>
      <c r="E57" s="15"/>
      <c r="F57" s="15"/>
      <c r="G57" s="14">
        <v>45749</v>
      </c>
    </row>
    <row r="58" spans="1:7" x14ac:dyDescent="0.3">
      <c r="A58" t="str">
        <f t="shared" si="4"/>
        <v>EL PEÑOL, GUATAPÉ</v>
      </c>
      <c r="B58" t="str">
        <f t="shared" si="5"/>
        <v>Domus Glamping Guatapé</v>
      </c>
      <c r="E58" s="15"/>
      <c r="F58" s="15"/>
      <c r="G58" s="14">
        <v>45750</v>
      </c>
    </row>
    <row r="59" spans="1:7" x14ac:dyDescent="0.3">
      <c r="A59" t="str">
        <f t="shared" si="4"/>
        <v>EL PEÑOL, GUATAPÉ</v>
      </c>
      <c r="B59" t="str">
        <f t="shared" si="5"/>
        <v>Domus Glamping Guatapé</v>
      </c>
      <c r="E59" s="15"/>
      <c r="F59" s="15"/>
      <c r="G59" s="14">
        <v>45751</v>
      </c>
    </row>
    <row r="60" spans="1:7" x14ac:dyDescent="0.3">
      <c r="A60" t="str">
        <f t="shared" si="4"/>
        <v>EL PEÑOL, GUATAPÉ</v>
      </c>
      <c r="B60" t="str">
        <f t="shared" si="5"/>
        <v>Domus Glamping Guatapé</v>
      </c>
      <c r="E60" s="15"/>
      <c r="F60" s="15"/>
      <c r="G60" s="14">
        <v>45752</v>
      </c>
    </row>
    <row r="61" spans="1:7" x14ac:dyDescent="0.3">
      <c r="A61" t="str">
        <f t="shared" si="4"/>
        <v>EL PEÑOL, GUATAPÉ</v>
      </c>
      <c r="B61" t="str">
        <f t="shared" si="5"/>
        <v>Domus Glamping Guatapé</v>
      </c>
      <c r="E61" s="15"/>
      <c r="F61" s="15"/>
      <c r="G61" s="14">
        <v>45753</v>
      </c>
    </row>
    <row r="62" spans="1:7" x14ac:dyDescent="0.3">
      <c r="A62" t="str">
        <f t="shared" si="4"/>
        <v>EL PEÑOL, GUATAPÉ</v>
      </c>
      <c r="B62" t="str">
        <f t="shared" si="5"/>
        <v>Domus Glamping Guatapé</v>
      </c>
      <c r="E62" s="15"/>
      <c r="F62" s="15"/>
      <c r="G62" s="14">
        <v>45754</v>
      </c>
    </row>
    <row r="63" spans="1:7" x14ac:dyDescent="0.3">
      <c r="A63" t="str">
        <f t="shared" si="4"/>
        <v>EL PEÑOL, GUATAPÉ</v>
      </c>
      <c r="B63" t="str">
        <f t="shared" si="5"/>
        <v>Domus Glamping Guatapé</v>
      </c>
      <c r="E63" s="15"/>
      <c r="F63" s="15"/>
      <c r="G63" s="14">
        <v>45755</v>
      </c>
    </row>
    <row r="64" spans="1:7" x14ac:dyDescent="0.3">
      <c r="A64" t="str">
        <f t="shared" si="4"/>
        <v>EL PEÑOL, GUATAPÉ</v>
      </c>
      <c r="B64" t="str">
        <f t="shared" si="5"/>
        <v>Domus Glamping Guatapé</v>
      </c>
      <c r="E64" s="15"/>
      <c r="F64" s="15"/>
      <c r="G64" s="14">
        <v>45756</v>
      </c>
    </row>
    <row r="65" spans="1:7" x14ac:dyDescent="0.3">
      <c r="A65" t="str">
        <f t="shared" si="4"/>
        <v>EL PEÑOL, GUATAPÉ</v>
      </c>
      <c r="B65" t="str">
        <f t="shared" si="5"/>
        <v>Domus Glamping Guatapé</v>
      </c>
      <c r="E65" s="15"/>
      <c r="F65" s="15"/>
      <c r="G65" s="14">
        <v>45757</v>
      </c>
    </row>
    <row r="66" spans="1:7" x14ac:dyDescent="0.3">
      <c r="A66" t="str">
        <f t="shared" si="4"/>
        <v>EL PEÑOL, GUATAPÉ</v>
      </c>
      <c r="B66" t="str">
        <f t="shared" si="5"/>
        <v>Domus Glamping Guatapé</v>
      </c>
      <c r="E66" s="15"/>
      <c r="F66" s="15"/>
      <c r="G66" s="14">
        <v>45758</v>
      </c>
    </row>
    <row r="67" spans="1:7" x14ac:dyDescent="0.3">
      <c r="A67" t="str">
        <f t="shared" si="4"/>
        <v>EL PEÑOL, GUATAPÉ</v>
      </c>
      <c r="B67" t="str">
        <f t="shared" si="5"/>
        <v>Domus Glamping Guatapé</v>
      </c>
      <c r="E67" s="15"/>
      <c r="F67" s="15"/>
      <c r="G67" s="14">
        <v>45759</v>
      </c>
    </row>
    <row r="68" spans="1:7" x14ac:dyDescent="0.3">
      <c r="A68" t="str">
        <f t="shared" si="4"/>
        <v>EL PEÑOL, GUATAPÉ</v>
      </c>
      <c r="B68" t="str">
        <f t="shared" si="5"/>
        <v>Domus Glamping Guatapé</v>
      </c>
      <c r="E68" s="15"/>
      <c r="F68" s="15"/>
      <c r="G68" s="14">
        <v>45760</v>
      </c>
    </row>
    <row r="69" spans="1:7" x14ac:dyDescent="0.3">
      <c r="A69" t="str">
        <f t="shared" si="4"/>
        <v>EL PEÑOL, GUATAPÉ</v>
      </c>
      <c r="B69" t="str">
        <f t="shared" si="5"/>
        <v>Domus Glamping Guatapé</v>
      </c>
      <c r="E69" s="15"/>
      <c r="F69" s="15"/>
      <c r="G69" s="14">
        <v>45761</v>
      </c>
    </row>
    <row r="70" spans="1:7" x14ac:dyDescent="0.3">
      <c r="A70" t="str">
        <f t="shared" si="4"/>
        <v>EL PEÑOL, GUATAPÉ</v>
      </c>
      <c r="B70" t="str">
        <f t="shared" si="5"/>
        <v>Domus Glamping Guatapé</v>
      </c>
      <c r="E70" s="15"/>
      <c r="F70" s="15"/>
      <c r="G70" s="14">
        <v>45762</v>
      </c>
    </row>
    <row r="71" spans="1:7" x14ac:dyDescent="0.3">
      <c r="A71" t="str">
        <f t="shared" si="4"/>
        <v>EL PEÑOL, GUATAPÉ</v>
      </c>
      <c r="B71" t="str">
        <f t="shared" si="5"/>
        <v>Domus Glamping Guatapé</v>
      </c>
      <c r="E71" s="15"/>
      <c r="F71" s="15"/>
      <c r="G71" s="14">
        <v>45763</v>
      </c>
    </row>
    <row r="72" spans="1:7" x14ac:dyDescent="0.3">
      <c r="A72" t="str">
        <f t="shared" si="4"/>
        <v>EL PEÑOL, GUATAPÉ</v>
      </c>
      <c r="B72" t="str">
        <f t="shared" si="5"/>
        <v>Domus Glamping Guatapé</v>
      </c>
      <c r="E72" s="15"/>
      <c r="F72" s="15"/>
      <c r="G72" s="14">
        <v>45764</v>
      </c>
    </row>
    <row r="73" spans="1:7" x14ac:dyDescent="0.3">
      <c r="A73" t="str">
        <f t="shared" si="4"/>
        <v>EL PEÑOL, GUATAPÉ</v>
      </c>
      <c r="B73" t="str">
        <f t="shared" si="5"/>
        <v>Domus Glamping Guatapé</v>
      </c>
      <c r="E73" s="15"/>
      <c r="F73" s="15"/>
      <c r="G73" s="14">
        <v>45765</v>
      </c>
    </row>
    <row r="74" spans="1:7" x14ac:dyDescent="0.3">
      <c r="A74" t="str">
        <f t="shared" si="4"/>
        <v>EL PEÑOL, GUATAPÉ</v>
      </c>
      <c r="B74" t="str">
        <f t="shared" si="5"/>
        <v>Domus Glamping Guatapé</v>
      </c>
      <c r="E74" s="15"/>
      <c r="F74" s="15"/>
      <c r="G74" s="14">
        <v>45766</v>
      </c>
    </row>
    <row r="75" spans="1:7" x14ac:dyDescent="0.3">
      <c r="A75" t="str">
        <f t="shared" si="4"/>
        <v>EL PEÑOL, GUATAPÉ</v>
      </c>
      <c r="B75" t="str">
        <f t="shared" si="5"/>
        <v>Domus Glamping Guatapé</v>
      </c>
      <c r="E75" s="15"/>
      <c r="F75" s="15"/>
      <c r="G75" s="14">
        <v>45767</v>
      </c>
    </row>
    <row r="76" spans="1:7" x14ac:dyDescent="0.3">
      <c r="A76" t="str">
        <f t="shared" si="4"/>
        <v>EL PEÑOL, GUATAPÉ</v>
      </c>
      <c r="B76" t="str">
        <f t="shared" si="5"/>
        <v>Domus Glamping Guatapé</v>
      </c>
      <c r="E76" s="15"/>
      <c r="F76" s="15"/>
      <c r="G76" s="14">
        <v>45768</v>
      </c>
    </row>
    <row r="77" spans="1:7" x14ac:dyDescent="0.3">
      <c r="A77" t="str">
        <f t="shared" si="4"/>
        <v>EL PEÑOL, GUATAPÉ</v>
      </c>
      <c r="B77" t="str">
        <f t="shared" si="5"/>
        <v>Domus Glamping Guatapé</v>
      </c>
      <c r="E77" s="15"/>
      <c r="F77" s="15"/>
      <c r="G77" s="14">
        <v>45769</v>
      </c>
    </row>
    <row r="78" spans="1:7" x14ac:dyDescent="0.3">
      <c r="A78" t="str">
        <f t="shared" si="4"/>
        <v>EL PEÑOL, GUATAPÉ</v>
      </c>
      <c r="B78" t="str">
        <f t="shared" si="5"/>
        <v>Domus Glamping Guatapé</v>
      </c>
      <c r="E78" s="15"/>
      <c r="F78" s="15"/>
      <c r="G78" s="14">
        <v>45770</v>
      </c>
    </row>
    <row r="79" spans="1:7" x14ac:dyDescent="0.3">
      <c r="A79" t="str">
        <f t="shared" si="4"/>
        <v>EL PEÑOL, GUATAPÉ</v>
      </c>
      <c r="B79" t="str">
        <f t="shared" si="5"/>
        <v>Domus Glamping Guatapé</v>
      </c>
      <c r="E79" s="15"/>
      <c r="F79" s="15"/>
      <c r="G79" s="14">
        <v>45771</v>
      </c>
    </row>
    <row r="80" spans="1:7" x14ac:dyDescent="0.3">
      <c r="A80" t="str">
        <f t="shared" si="4"/>
        <v>EL PEÑOL, GUATAPÉ</v>
      </c>
      <c r="B80" t="str">
        <f t="shared" si="5"/>
        <v>Domus Glamping Guatapé</v>
      </c>
      <c r="E80" s="15"/>
      <c r="F80" s="15"/>
      <c r="G80" s="14">
        <v>45772</v>
      </c>
    </row>
    <row r="81" spans="1:7" x14ac:dyDescent="0.3">
      <c r="A81" t="str">
        <f t="shared" si="4"/>
        <v>EL PEÑOL, GUATAPÉ</v>
      </c>
      <c r="B81" t="str">
        <f t="shared" si="5"/>
        <v>Domus Glamping Guatapé</v>
      </c>
      <c r="E81" s="15"/>
      <c r="F81" s="15"/>
      <c r="G81" s="14">
        <v>45773</v>
      </c>
    </row>
    <row r="82" spans="1:7" x14ac:dyDescent="0.3">
      <c r="A82" t="str">
        <f t="shared" si="4"/>
        <v>EL PEÑOL, GUATAPÉ</v>
      </c>
      <c r="B82" t="str">
        <f t="shared" si="5"/>
        <v>Domus Glamping Guatapé</v>
      </c>
      <c r="E82" s="15"/>
      <c r="F82" s="15"/>
      <c r="G82" s="14">
        <v>45774</v>
      </c>
    </row>
    <row r="83" spans="1:7" x14ac:dyDescent="0.3">
      <c r="A83" t="str">
        <f t="shared" si="4"/>
        <v>EL PEÑOL, GUATAPÉ</v>
      </c>
      <c r="B83" t="str">
        <f t="shared" si="5"/>
        <v>Domus Glamping Guatapé</v>
      </c>
      <c r="E83" s="15"/>
      <c r="F83" s="15"/>
      <c r="G83" s="14">
        <v>45775</v>
      </c>
    </row>
    <row r="84" spans="1:7" x14ac:dyDescent="0.3">
      <c r="A84" t="str">
        <f t="shared" si="4"/>
        <v>EL PEÑOL, GUATAPÉ</v>
      </c>
      <c r="B84" t="str">
        <f t="shared" si="5"/>
        <v>Domus Glamping Guatapé</v>
      </c>
      <c r="E84" s="15"/>
      <c r="F84" s="15"/>
      <c r="G84" s="14">
        <v>45776</v>
      </c>
    </row>
    <row r="85" spans="1:7" x14ac:dyDescent="0.3">
      <c r="A85" t="str">
        <f t="shared" si="4"/>
        <v>EL PEÑOL, GUATAPÉ</v>
      </c>
      <c r="B85" t="str">
        <f t="shared" si="5"/>
        <v>Domus Glamping Guatapé</v>
      </c>
      <c r="E85" s="15"/>
      <c r="F85" s="15"/>
      <c r="G85" s="14">
        <v>45777</v>
      </c>
    </row>
    <row r="86" spans="1:7" x14ac:dyDescent="0.3">
      <c r="A86" t="s">
        <v>8</v>
      </c>
      <c r="B86" t="s">
        <v>41</v>
      </c>
      <c r="E86" s="15"/>
      <c r="F86" s="15"/>
      <c r="G86" s="14">
        <v>45736</v>
      </c>
    </row>
    <row r="87" spans="1:7" x14ac:dyDescent="0.3">
      <c r="A87" t="str">
        <f t="shared" ref="A87:A127" si="6">+A86</f>
        <v>EL PEÑOL, GUATAPÉ</v>
      </c>
      <c r="B87" t="str">
        <f t="shared" ref="B87:B127" si="7">+B86</f>
        <v>1714 Hotel Boutique Guatapé</v>
      </c>
      <c r="E87" s="15"/>
      <c r="F87" s="15"/>
      <c r="G87" s="14">
        <v>45737</v>
      </c>
    </row>
    <row r="88" spans="1:7" x14ac:dyDescent="0.3">
      <c r="A88" t="str">
        <f t="shared" si="6"/>
        <v>EL PEÑOL, GUATAPÉ</v>
      </c>
      <c r="B88" t="str">
        <f t="shared" si="7"/>
        <v>1714 Hotel Boutique Guatapé</v>
      </c>
      <c r="E88" s="15"/>
      <c r="F88" s="15"/>
      <c r="G88" s="14">
        <v>45738</v>
      </c>
    </row>
    <row r="89" spans="1:7" x14ac:dyDescent="0.3">
      <c r="A89" t="str">
        <f t="shared" si="6"/>
        <v>EL PEÑOL, GUATAPÉ</v>
      </c>
      <c r="B89" t="str">
        <f t="shared" si="7"/>
        <v>1714 Hotel Boutique Guatapé</v>
      </c>
      <c r="E89" s="15"/>
      <c r="F89" s="15"/>
      <c r="G89" s="14">
        <v>45739</v>
      </c>
    </row>
    <row r="90" spans="1:7" x14ac:dyDescent="0.3">
      <c r="A90" t="str">
        <f t="shared" si="6"/>
        <v>EL PEÑOL, GUATAPÉ</v>
      </c>
      <c r="B90" t="str">
        <f t="shared" si="7"/>
        <v>1714 Hotel Boutique Guatapé</v>
      </c>
      <c r="E90" s="15"/>
      <c r="F90" s="15"/>
      <c r="G90" s="14">
        <v>45740</v>
      </c>
    </row>
    <row r="91" spans="1:7" x14ac:dyDescent="0.3">
      <c r="A91" t="str">
        <f t="shared" si="6"/>
        <v>EL PEÑOL, GUATAPÉ</v>
      </c>
      <c r="B91" t="str">
        <f t="shared" si="7"/>
        <v>1714 Hotel Boutique Guatapé</v>
      </c>
      <c r="E91" s="15"/>
      <c r="F91" s="15"/>
      <c r="G91" s="14">
        <v>45741</v>
      </c>
    </row>
    <row r="92" spans="1:7" x14ac:dyDescent="0.3">
      <c r="A92" t="str">
        <f t="shared" si="6"/>
        <v>EL PEÑOL, GUATAPÉ</v>
      </c>
      <c r="B92" t="str">
        <f t="shared" si="7"/>
        <v>1714 Hotel Boutique Guatapé</v>
      </c>
      <c r="E92" s="15"/>
      <c r="F92" s="15"/>
      <c r="G92" s="14">
        <v>45742</v>
      </c>
    </row>
    <row r="93" spans="1:7" x14ac:dyDescent="0.3">
      <c r="A93" t="str">
        <f t="shared" si="6"/>
        <v>EL PEÑOL, GUATAPÉ</v>
      </c>
      <c r="B93" t="str">
        <f t="shared" si="7"/>
        <v>1714 Hotel Boutique Guatapé</v>
      </c>
      <c r="E93" s="15"/>
      <c r="F93" s="15"/>
      <c r="G93" s="14">
        <v>45743</v>
      </c>
    </row>
    <row r="94" spans="1:7" x14ac:dyDescent="0.3">
      <c r="A94" t="str">
        <f t="shared" si="6"/>
        <v>EL PEÑOL, GUATAPÉ</v>
      </c>
      <c r="B94" t="str">
        <f t="shared" si="7"/>
        <v>1714 Hotel Boutique Guatapé</v>
      </c>
      <c r="E94" s="15"/>
      <c r="F94" s="15"/>
      <c r="G94" s="14">
        <v>45744</v>
      </c>
    </row>
    <row r="95" spans="1:7" x14ac:dyDescent="0.3">
      <c r="A95" t="str">
        <f t="shared" si="6"/>
        <v>EL PEÑOL, GUATAPÉ</v>
      </c>
      <c r="B95" t="str">
        <f t="shared" si="7"/>
        <v>1714 Hotel Boutique Guatapé</v>
      </c>
      <c r="E95" s="15"/>
      <c r="F95" s="15"/>
      <c r="G95" s="14">
        <v>45745</v>
      </c>
    </row>
    <row r="96" spans="1:7" x14ac:dyDescent="0.3">
      <c r="A96" t="str">
        <f t="shared" si="6"/>
        <v>EL PEÑOL, GUATAPÉ</v>
      </c>
      <c r="B96" t="str">
        <f t="shared" si="7"/>
        <v>1714 Hotel Boutique Guatapé</v>
      </c>
      <c r="E96" s="15"/>
      <c r="F96" s="15"/>
      <c r="G96" s="14">
        <v>45746</v>
      </c>
    </row>
    <row r="97" spans="1:7" x14ac:dyDescent="0.3">
      <c r="A97" t="str">
        <f t="shared" si="6"/>
        <v>EL PEÑOL, GUATAPÉ</v>
      </c>
      <c r="B97" t="str">
        <f t="shared" si="7"/>
        <v>1714 Hotel Boutique Guatapé</v>
      </c>
      <c r="E97" s="15"/>
      <c r="F97" s="15"/>
      <c r="G97" s="14">
        <v>45747</v>
      </c>
    </row>
    <row r="98" spans="1:7" x14ac:dyDescent="0.3">
      <c r="A98" t="str">
        <f t="shared" si="6"/>
        <v>EL PEÑOL, GUATAPÉ</v>
      </c>
      <c r="B98" t="str">
        <f t="shared" si="7"/>
        <v>1714 Hotel Boutique Guatapé</v>
      </c>
      <c r="E98" s="15"/>
      <c r="F98" s="15"/>
      <c r="G98" s="14">
        <v>45748</v>
      </c>
    </row>
    <row r="99" spans="1:7" x14ac:dyDescent="0.3">
      <c r="A99" t="str">
        <f t="shared" si="6"/>
        <v>EL PEÑOL, GUATAPÉ</v>
      </c>
      <c r="B99" t="str">
        <f t="shared" si="7"/>
        <v>1714 Hotel Boutique Guatapé</v>
      </c>
      <c r="E99" s="15"/>
      <c r="F99" s="15"/>
      <c r="G99" s="14">
        <v>45749</v>
      </c>
    </row>
    <row r="100" spans="1:7" x14ac:dyDescent="0.3">
      <c r="A100" t="str">
        <f t="shared" si="6"/>
        <v>EL PEÑOL, GUATAPÉ</v>
      </c>
      <c r="B100" t="str">
        <f t="shared" si="7"/>
        <v>1714 Hotel Boutique Guatapé</v>
      </c>
      <c r="E100" s="15"/>
      <c r="F100" s="15"/>
      <c r="G100" s="14">
        <v>45750</v>
      </c>
    </row>
    <row r="101" spans="1:7" x14ac:dyDescent="0.3">
      <c r="A101" t="str">
        <f t="shared" si="6"/>
        <v>EL PEÑOL, GUATAPÉ</v>
      </c>
      <c r="B101" t="str">
        <f t="shared" si="7"/>
        <v>1714 Hotel Boutique Guatapé</v>
      </c>
      <c r="E101" s="15"/>
      <c r="F101" s="15"/>
      <c r="G101" s="14">
        <v>45751</v>
      </c>
    </row>
    <row r="102" spans="1:7" x14ac:dyDescent="0.3">
      <c r="A102" t="str">
        <f t="shared" si="6"/>
        <v>EL PEÑOL, GUATAPÉ</v>
      </c>
      <c r="B102" t="str">
        <f t="shared" si="7"/>
        <v>1714 Hotel Boutique Guatapé</v>
      </c>
      <c r="E102" s="15"/>
      <c r="F102" s="15"/>
      <c r="G102" s="14">
        <v>45752</v>
      </c>
    </row>
    <row r="103" spans="1:7" x14ac:dyDescent="0.3">
      <c r="A103" t="str">
        <f t="shared" si="6"/>
        <v>EL PEÑOL, GUATAPÉ</v>
      </c>
      <c r="B103" t="str">
        <f t="shared" si="7"/>
        <v>1714 Hotel Boutique Guatapé</v>
      </c>
      <c r="E103" s="15"/>
      <c r="F103" s="15"/>
      <c r="G103" s="14">
        <v>45753</v>
      </c>
    </row>
    <row r="104" spans="1:7" x14ac:dyDescent="0.3">
      <c r="A104" t="str">
        <f t="shared" si="6"/>
        <v>EL PEÑOL, GUATAPÉ</v>
      </c>
      <c r="B104" t="str">
        <f t="shared" si="7"/>
        <v>1714 Hotel Boutique Guatapé</v>
      </c>
      <c r="E104" s="15"/>
      <c r="F104" s="15"/>
      <c r="G104" s="14">
        <v>45754</v>
      </c>
    </row>
    <row r="105" spans="1:7" x14ac:dyDescent="0.3">
      <c r="A105" t="str">
        <f t="shared" si="6"/>
        <v>EL PEÑOL, GUATAPÉ</v>
      </c>
      <c r="B105" t="str">
        <f t="shared" si="7"/>
        <v>1714 Hotel Boutique Guatapé</v>
      </c>
      <c r="E105" s="15"/>
      <c r="F105" s="15"/>
      <c r="G105" s="14">
        <v>45755</v>
      </c>
    </row>
    <row r="106" spans="1:7" x14ac:dyDescent="0.3">
      <c r="A106" t="str">
        <f t="shared" si="6"/>
        <v>EL PEÑOL, GUATAPÉ</v>
      </c>
      <c r="B106" t="str">
        <f t="shared" si="7"/>
        <v>1714 Hotel Boutique Guatapé</v>
      </c>
      <c r="E106" s="15"/>
      <c r="F106" s="15"/>
      <c r="G106" s="14">
        <v>45756</v>
      </c>
    </row>
    <row r="107" spans="1:7" x14ac:dyDescent="0.3">
      <c r="A107" t="str">
        <f t="shared" si="6"/>
        <v>EL PEÑOL, GUATAPÉ</v>
      </c>
      <c r="B107" t="str">
        <f t="shared" si="7"/>
        <v>1714 Hotel Boutique Guatapé</v>
      </c>
      <c r="E107" s="15"/>
      <c r="F107" s="15"/>
      <c r="G107" s="14">
        <v>45757</v>
      </c>
    </row>
    <row r="108" spans="1:7" x14ac:dyDescent="0.3">
      <c r="A108" t="str">
        <f t="shared" si="6"/>
        <v>EL PEÑOL, GUATAPÉ</v>
      </c>
      <c r="B108" t="str">
        <f t="shared" si="7"/>
        <v>1714 Hotel Boutique Guatapé</v>
      </c>
      <c r="E108" s="15"/>
      <c r="F108" s="15"/>
      <c r="G108" s="14">
        <v>45758</v>
      </c>
    </row>
    <row r="109" spans="1:7" x14ac:dyDescent="0.3">
      <c r="A109" t="str">
        <f t="shared" si="6"/>
        <v>EL PEÑOL, GUATAPÉ</v>
      </c>
      <c r="B109" t="str">
        <f t="shared" si="7"/>
        <v>1714 Hotel Boutique Guatapé</v>
      </c>
      <c r="E109" s="15"/>
      <c r="F109" s="15"/>
      <c r="G109" s="14">
        <v>45759</v>
      </c>
    </row>
    <row r="110" spans="1:7" x14ac:dyDescent="0.3">
      <c r="A110" t="str">
        <f t="shared" si="6"/>
        <v>EL PEÑOL, GUATAPÉ</v>
      </c>
      <c r="B110" t="str">
        <f t="shared" si="7"/>
        <v>1714 Hotel Boutique Guatapé</v>
      </c>
      <c r="E110" s="15"/>
      <c r="F110" s="15"/>
      <c r="G110" s="14">
        <v>45760</v>
      </c>
    </row>
    <row r="111" spans="1:7" x14ac:dyDescent="0.3">
      <c r="A111" t="str">
        <f t="shared" si="6"/>
        <v>EL PEÑOL, GUATAPÉ</v>
      </c>
      <c r="B111" t="str">
        <f t="shared" si="7"/>
        <v>1714 Hotel Boutique Guatapé</v>
      </c>
      <c r="E111" s="15"/>
      <c r="F111" s="15"/>
      <c r="G111" s="14">
        <v>45761</v>
      </c>
    </row>
    <row r="112" spans="1:7" x14ac:dyDescent="0.3">
      <c r="A112" t="str">
        <f t="shared" si="6"/>
        <v>EL PEÑOL, GUATAPÉ</v>
      </c>
      <c r="B112" t="str">
        <f t="shared" si="7"/>
        <v>1714 Hotel Boutique Guatapé</v>
      </c>
      <c r="E112" s="15"/>
      <c r="F112" s="15"/>
      <c r="G112" s="14">
        <v>45762</v>
      </c>
    </row>
    <row r="113" spans="1:7" x14ac:dyDescent="0.3">
      <c r="A113" t="str">
        <f t="shared" si="6"/>
        <v>EL PEÑOL, GUATAPÉ</v>
      </c>
      <c r="B113" t="str">
        <f t="shared" si="7"/>
        <v>1714 Hotel Boutique Guatapé</v>
      </c>
      <c r="E113" s="15"/>
      <c r="F113" s="15"/>
      <c r="G113" s="14">
        <v>45763</v>
      </c>
    </row>
    <row r="114" spans="1:7" x14ac:dyDescent="0.3">
      <c r="A114" t="str">
        <f t="shared" si="6"/>
        <v>EL PEÑOL, GUATAPÉ</v>
      </c>
      <c r="B114" t="str">
        <f t="shared" si="7"/>
        <v>1714 Hotel Boutique Guatapé</v>
      </c>
      <c r="E114" s="15"/>
      <c r="F114" s="15"/>
      <c r="G114" s="14">
        <v>45764</v>
      </c>
    </row>
    <row r="115" spans="1:7" x14ac:dyDescent="0.3">
      <c r="A115" t="str">
        <f t="shared" si="6"/>
        <v>EL PEÑOL, GUATAPÉ</v>
      </c>
      <c r="B115" t="str">
        <f t="shared" si="7"/>
        <v>1714 Hotel Boutique Guatapé</v>
      </c>
      <c r="E115" s="15"/>
      <c r="F115" s="15"/>
      <c r="G115" s="14">
        <v>45765</v>
      </c>
    </row>
    <row r="116" spans="1:7" x14ac:dyDescent="0.3">
      <c r="A116" t="str">
        <f t="shared" si="6"/>
        <v>EL PEÑOL, GUATAPÉ</v>
      </c>
      <c r="B116" t="str">
        <f t="shared" si="7"/>
        <v>1714 Hotel Boutique Guatapé</v>
      </c>
      <c r="E116" s="15"/>
      <c r="F116" s="15"/>
      <c r="G116" s="14">
        <v>45766</v>
      </c>
    </row>
    <row r="117" spans="1:7" x14ac:dyDescent="0.3">
      <c r="A117" t="str">
        <f t="shared" si="6"/>
        <v>EL PEÑOL, GUATAPÉ</v>
      </c>
      <c r="B117" t="str">
        <f t="shared" si="7"/>
        <v>1714 Hotel Boutique Guatapé</v>
      </c>
      <c r="E117" s="15"/>
      <c r="F117" s="15"/>
      <c r="G117" s="14">
        <v>45767</v>
      </c>
    </row>
    <row r="118" spans="1:7" x14ac:dyDescent="0.3">
      <c r="A118" t="str">
        <f t="shared" si="6"/>
        <v>EL PEÑOL, GUATAPÉ</v>
      </c>
      <c r="B118" t="str">
        <f t="shared" si="7"/>
        <v>1714 Hotel Boutique Guatapé</v>
      </c>
      <c r="E118" s="15"/>
      <c r="F118" s="15"/>
      <c r="G118" s="14">
        <v>45768</v>
      </c>
    </row>
    <row r="119" spans="1:7" x14ac:dyDescent="0.3">
      <c r="A119" t="str">
        <f t="shared" si="6"/>
        <v>EL PEÑOL, GUATAPÉ</v>
      </c>
      <c r="B119" t="str">
        <f t="shared" si="7"/>
        <v>1714 Hotel Boutique Guatapé</v>
      </c>
      <c r="E119" s="15"/>
      <c r="F119" s="15"/>
      <c r="G119" s="14">
        <v>45769</v>
      </c>
    </row>
    <row r="120" spans="1:7" x14ac:dyDescent="0.3">
      <c r="A120" t="str">
        <f t="shared" si="6"/>
        <v>EL PEÑOL, GUATAPÉ</v>
      </c>
      <c r="B120" t="str">
        <f t="shared" si="7"/>
        <v>1714 Hotel Boutique Guatapé</v>
      </c>
      <c r="E120" s="15"/>
      <c r="F120" s="15"/>
      <c r="G120" s="14">
        <v>45770</v>
      </c>
    </row>
    <row r="121" spans="1:7" x14ac:dyDescent="0.3">
      <c r="A121" t="str">
        <f t="shared" si="6"/>
        <v>EL PEÑOL, GUATAPÉ</v>
      </c>
      <c r="B121" t="str">
        <f t="shared" si="7"/>
        <v>1714 Hotel Boutique Guatapé</v>
      </c>
      <c r="E121" s="15"/>
      <c r="F121" s="15"/>
      <c r="G121" s="14">
        <v>45771</v>
      </c>
    </row>
    <row r="122" spans="1:7" x14ac:dyDescent="0.3">
      <c r="A122" t="str">
        <f t="shared" si="6"/>
        <v>EL PEÑOL, GUATAPÉ</v>
      </c>
      <c r="B122" t="str">
        <f t="shared" si="7"/>
        <v>1714 Hotel Boutique Guatapé</v>
      </c>
      <c r="E122" s="15"/>
      <c r="F122" s="15"/>
      <c r="G122" s="14">
        <v>45772</v>
      </c>
    </row>
    <row r="123" spans="1:7" x14ac:dyDescent="0.3">
      <c r="A123" t="str">
        <f t="shared" si="6"/>
        <v>EL PEÑOL, GUATAPÉ</v>
      </c>
      <c r="B123" t="str">
        <f t="shared" si="7"/>
        <v>1714 Hotel Boutique Guatapé</v>
      </c>
      <c r="E123" s="15"/>
      <c r="F123" s="15"/>
      <c r="G123" s="14">
        <v>45773</v>
      </c>
    </row>
    <row r="124" spans="1:7" x14ac:dyDescent="0.3">
      <c r="A124" t="str">
        <f t="shared" si="6"/>
        <v>EL PEÑOL, GUATAPÉ</v>
      </c>
      <c r="B124" t="str">
        <f t="shared" si="7"/>
        <v>1714 Hotel Boutique Guatapé</v>
      </c>
      <c r="E124" s="15"/>
      <c r="F124" s="15"/>
      <c r="G124" s="14">
        <v>45774</v>
      </c>
    </row>
    <row r="125" spans="1:7" x14ac:dyDescent="0.3">
      <c r="A125" t="str">
        <f t="shared" si="6"/>
        <v>EL PEÑOL, GUATAPÉ</v>
      </c>
      <c r="B125" t="str">
        <f t="shared" si="7"/>
        <v>1714 Hotel Boutique Guatapé</v>
      </c>
      <c r="E125" s="15"/>
      <c r="F125" s="15"/>
      <c r="G125" s="14">
        <v>45775</v>
      </c>
    </row>
    <row r="126" spans="1:7" x14ac:dyDescent="0.3">
      <c r="A126" t="str">
        <f t="shared" si="6"/>
        <v>EL PEÑOL, GUATAPÉ</v>
      </c>
      <c r="B126" t="str">
        <f t="shared" si="7"/>
        <v>1714 Hotel Boutique Guatapé</v>
      </c>
      <c r="E126" s="15"/>
      <c r="F126" s="15"/>
      <c r="G126" s="14">
        <v>45776</v>
      </c>
    </row>
    <row r="127" spans="1:7" x14ac:dyDescent="0.3">
      <c r="A127" t="str">
        <f t="shared" si="6"/>
        <v>EL PEÑOL, GUATAPÉ</v>
      </c>
      <c r="B127" t="str">
        <f t="shared" si="7"/>
        <v>1714 Hotel Boutique Guatapé</v>
      </c>
      <c r="E127" s="15"/>
      <c r="F127" s="15"/>
      <c r="G127" s="14">
        <v>45777</v>
      </c>
    </row>
    <row r="128" spans="1:7" x14ac:dyDescent="0.3">
      <c r="A128" t="s">
        <v>7</v>
      </c>
      <c r="B128" t="s">
        <v>42</v>
      </c>
      <c r="C128">
        <v>10</v>
      </c>
      <c r="D128">
        <v>5</v>
      </c>
      <c r="E128" s="15">
        <v>120000</v>
      </c>
      <c r="F128" s="15">
        <v>600000</v>
      </c>
      <c r="G128" s="14">
        <v>45736</v>
      </c>
    </row>
    <row r="129" spans="1:7" x14ac:dyDescent="0.3">
      <c r="A129" t="str">
        <f t="shared" ref="A129:A169" si="8">+A128</f>
        <v>GUATAPÉ</v>
      </c>
      <c r="B129" t="str">
        <f t="shared" ref="B129:B169" si="9">+B128</f>
        <v>Hotel Spa Bliss Guatape</v>
      </c>
      <c r="C129">
        <v>10</v>
      </c>
      <c r="D129">
        <v>2</v>
      </c>
      <c r="E129" s="15">
        <v>115000</v>
      </c>
      <c r="F129" s="15">
        <v>450000</v>
      </c>
      <c r="G129" s="14">
        <v>45737</v>
      </c>
    </row>
    <row r="130" spans="1:7" x14ac:dyDescent="0.3">
      <c r="A130" t="str">
        <f t="shared" si="8"/>
        <v>GUATAPÉ</v>
      </c>
      <c r="B130" t="str">
        <f t="shared" si="9"/>
        <v>Hotel Spa Bliss Guatape</v>
      </c>
      <c r="C130">
        <v>10</v>
      </c>
      <c r="D130">
        <v>1</v>
      </c>
      <c r="E130" s="15">
        <v>130000</v>
      </c>
      <c r="F130" s="15">
        <v>1000000</v>
      </c>
      <c r="G130" s="14">
        <v>45738</v>
      </c>
    </row>
    <row r="131" spans="1:7" x14ac:dyDescent="0.3">
      <c r="A131" t="str">
        <f t="shared" si="8"/>
        <v>GUATAPÉ</v>
      </c>
      <c r="B131" t="str">
        <f t="shared" si="9"/>
        <v>Hotel Spa Bliss Guatape</v>
      </c>
      <c r="C131">
        <v>10</v>
      </c>
      <c r="D131">
        <v>5</v>
      </c>
      <c r="E131" s="15">
        <v>120000</v>
      </c>
      <c r="F131" s="15">
        <v>1200000</v>
      </c>
      <c r="G131" s="14">
        <v>45739</v>
      </c>
    </row>
    <row r="132" spans="1:7" x14ac:dyDescent="0.3">
      <c r="A132" t="str">
        <f t="shared" si="8"/>
        <v>GUATAPÉ</v>
      </c>
      <c r="B132" t="str">
        <f t="shared" si="9"/>
        <v>Hotel Spa Bliss Guatape</v>
      </c>
      <c r="C132">
        <v>10</v>
      </c>
      <c r="D132">
        <v>5</v>
      </c>
      <c r="E132" s="15">
        <v>120000</v>
      </c>
      <c r="F132" s="15">
        <v>54000</v>
      </c>
      <c r="G132" s="14">
        <v>45740</v>
      </c>
    </row>
    <row r="133" spans="1:7" x14ac:dyDescent="0.3">
      <c r="A133" t="str">
        <f t="shared" si="8"/>
        <v>GUATAPÉ</v>
      </c>
      <c r="B133" t="str">
        <f t="shared" si="9"/>
        <v>Hotel Spa Bliss Guatape</v>
      </c>
      <c r="C133">
        <v>10</v>
      </c>
      <c r="D133">
        <v>2</v>
      </c>
      <c r="E133" s="15">
        <v>120000</v>
      </c>
      <c r="F133" s="15"/>
      <c r="G133" s="14">
        <v>45741</v>
      </c>
    </row>
    <row r="134" spans="1:7" x14ac:dyDescent="0.3">
      <c r="A134" t="str">
        <f t="shared" si="8"/>
        <v>GUATAPÉ</v>
      </c>
      <c r="B134" t="str">
        <f t="shared" si="9"/>
        <v>Hotel Spa Bliss Guatape</v>
      </c>
      <c r="C134">
        <v>10</v>
      </c>
      <c r="D134">
        <v>1</v>
      </c>
      <c r="E134" s="15">
        <v>120000</v>
      </c>
      <c r="F134" s="15"/>
      <c r="G134" s="14">
        <v>45742</v>
      </c>
    </row>
    <row r="135" spans="1:7" x14ac:dyDescent="0.3">
      <c r="A135" t="str">
        <f t="shared" si="8"/>
        <v>GUATAPÉ</v>
      </c>
      <c r="B135" t="str">
        <f t="shared" si="9"/>
        <v>Hotel Spa Bliss Guatape</v>
      </c>
      <c r="C135">
        <v>10</v>
      </c>
      <c r="D135">
        <v>5</v>
      </c>
      <c r="E135" s="15">
        <v>120000</v>
      </c>
      <c r="F135" s="15"/>
      <c r="G135" s="14">
        <v>45743</v>
      </c>
    </row>
    <row r="136" spans="1:7" x14ac:dyDescent="0.3">
      <c r="A136" t="str">
        <f t="shared" si="8"/>
        <v>GUATAPÉ</v>
      </c>
      <c r="B136" t="str">
        <f t="shared" si="9"/>
        <v>Hotel Spa Bliss Guatape</v>
      </c>
      <c r="C136">
        <v>10</v>
      </c>
      <c r="D136">
        <v>3</v>
      </c>
      <c r="E136" s="15">
        <v>120000</v>
      </c>
      <c r="F136" s="15"/>
      <c r="G136" s="14">
        <v>45744</v>
      </c>
    </row>
    <row r="137" spans="1:7" x14ac:dyDescent="0.3">
      <c r="A137" t="str">
        <f t="shared" si="8"/>
        <v>GUATAPÉ</v>
      </c>
      <c r="B137" t="str">
        <f t="shared" si="9"/>
        <v>Hotel Spa Bliss Guatape</v>
      </c>
      <c r="C137">
        <v>10</v>
      </c>
      <c r="D137">
        <v>8</v>
      </c>
      <c r="E137" s="15">
        <v>120000</v>
      </c>
      <c r="F137" s="15"/>
      <c r="G137" s="14">
        <v>45745</v>
      </c>
    </row>
    <row r="138" spans="1:7" x14ac:dyDescent="0.3">
      <c r="A138" t="str">
        <f t="shared" si="8"/>
        <v>GUATAPÉ</v>
      </c>
      <c r="B138" t="str">
        <f t="shared" si="9"/>
        <v>Hotel Spa Bliss Guatape</v>
      </c>
      <c r="C138">
        <v>10</v>
      </c>
      <c r="D138">
        <v>10</v>
      </c>
      <c r="E138" s="15">
        <v>120000</v>
      </c>
      <c r="F138" s="15"/>
      <c r="G138" s="14">
        <v>45746</v>
      </c>
    </row>
    <row r="139" spans="1:7" x14ac:dyDescent="0.3">
      <c r="A139" t="str">
        <f t="shared" si="8"/>
        <v>GUATAPÉ</v>
      </c>
      <c r="B139" t="str">
        <f t="shared" si="9"/>
        <v>Hotel Spa Bliss Guatape</v>
      </c>
      <c r="C139">
        <v>10</v>
      </c>
      <c r="D139">
        <v>9</v>
      </c>
      <c r="E139" s="15">
        <v>120000</v>
      </c>
      <c r="F139" s="15"/>
      <c r="G139" s="14">
        <v>45747</v>
      </c>
    </row>
    <row r="140" spans="1:7" x14ac:dyDescent="0.3">
      <c r="A140" t="str">
        <f t="shared" si="8"/>
        <v>GUATAPÉ</v>
      </c>
      <c r="B140" t="str">
        <f t="shared" si="9"/>
        <v>Hotel Spa Bliss Guatape</v>
      </c>
      <c r="C140">
        <v>10</v>
      </c>
      <c r="D140">
        <v>2</v>
      </c>
      <c r="E140" s="15">
        <v>120000</v>
      </c>
      <c r="F140" s="15"/>
      <c r="G140" s="14">
        <v>45748</v>
      </c>
    </row>
    <row r="141" spans="1:7" x14ac:dyDescent="0.3">
      <c r="A141" t="str">
        <f t="shared" si="8"/>
        <v>GUATAPÉ</v>
      </c>
      <c r="B141" t="str">
        <f t="shared" si="9"/>
        <v>Hotel Spa Bliss Guatape</v>
      </c>
      <c r="C141">
        <v>10</v>
      </c>
      <c r="D141">
        <v>1</v>
      </c>
      <c r="E141" s="15">
        <v>120000</v>
      </c>
      <c r="F141" s="15"/>
      <c r="G141" s="14">
        <v>45749</v>
      </c>
    </row>
    <row r="142" spans="1:7" x14ac:dyDescent="0.3">
      <c r="A142" t="str">
        <f t="shared" si="8"/>
        <v>GUATAPÉ</v>
      </c>
      <c r="B142" t="str">
        <f t="shared" si="9"/>
        <v>Hotel Spa Bliss Guatape</v>
      </c>
      <c r="C142">
        <v>10</v>
      </c>
      <c r="D142">
        <v>0</v>
      </c>
      <c r="E142" s="15">
        <v>120000</v>
      </c>
      <c r="F142" s="15"/>
      <c r="G142" s="14">
        <v>45750</v>
      </c>
    </row>
    <row r="143" spans="1:7" x14ac:dyDescent="0.3">
      <c r="A143" t="str">
        <f t="shared" si="8"/>
        <v>GUATAPÉ</v>
      </c>
      <c r="B143" t="str">
        <f t="shared" si="9"/>
        <v>Hotel Spa Bliss Guatape</v>
      </c>
      <c r="C143">
        <v>10</v>
      </c>
      <c r="D143">
        <v>0</v>
      </c>
      <c r="E143" s="15">
        <v>120000</v>
      </c>
      <c r="F143" s="15"/>
      <c r="G143" s="14">
        <v>45751</v>
      </c>
    </row>
    <row r="144" spans="1:7" x14ac:dyDescent="0.3">
      <c r="A144" t="str">
        <f t="shared" si="8"/>
        <v>GUATAPÉ</v>
      </c>
      <c r="B144" t="str">
        <f t="shared" si="9"/>
        <v>Hotel Spa Bliss Guatape</v>
      </c>
      <c r="C144">
        <v>10</v>
      </c>
      <c r="D144">
        <v>5</v>
      </c>
      <c r="E144" s="15">
        <v>120000</v>
      </c>
      <c r="F144" s="15"/>
      <c r="G144" s="14">
        <v>45752</v>
      </c>
    </row>
    <row r="145" spans="1:7" x14ac:dyDescent="0.3">
      <c r="A145" t="str">
        <f t="shared" si="8"/>
        <v>GUATAPÉ</v>
      </c>
      <c r="B145" t="str">
        <f t="shared" si="9"/>
        <v>Hotel Spa Bliss Guatape</v>
      </c>
      <c r="C145">
        <v>10</v>
      </c>
      <c r="D145">
        <v>2</v>
      </c>
      <c r="E145" s="15">
        <v>120000</v>
      </c>
      <c r="F145" s="15"/>
      <c r="G145" s="14">
        <v>45753</v>
      </c>
    </row>
    <row r="146" spans="1:7" x14ac:dyDescent="0.3">
      <c r="A146" t="str">
        <f t="shared" si="8"/>
        <v>GUATAPÉ</v>
      </c>
      <c r="B146" t="str">
        <f t="shared" si="9"/>
        <v>Hotel Spa Bliss Guatape</v>
      </c>
      <c r="C146">
        <v>10</v>
      </c>
      <c r="D146">
        <v>1</v>
      </c>
      <c r="E146" s="15">
        <v>120000</v>
      </c>
      <c r="F146" s="15"/>
      <c r="G146" s="14">
        <v>45754</v>
      </c>
    </row>
    <row r="147" spans="1:7" x14ac:dyDescent="0.3">
      <c r="A147" t="str">
        <f t="shared" si="8"/>
        <v>GUATAPÉ</v>
      </c>
      <c r="B147" t="str">
        <f t="shared" si="9"/>
        <v>Hotel Spa Bliss Guatape</v>
      </c>
      <c r="C147">
        <v>10</v>
      </c>
      <c r="D147">
        <v>5</v>
      </c>
      <c r="E147" s="15">
        <v>120000</v>
      </c>
      <c r="F147" s="15"/>
      <c r="G147" s="14">
        <v>45755</v>
      </c>
    </row>
    <row r="148" spans="1:7" x14ac:dyDescent="0.3">
      <c r="A148" t="str">
        <f t="shared" si="8"/>
        <v>GUATAPÉ</v>
      </c>
      <c r="B148" t="str">
        <f t="shared" si="9"/>
        <v>Hotel Spa Bliss Guatape</v>
      </c>
      <c r="C148">
        <v>10</v>
      </c>
      <c r="D148">
        <v>5</v>
      </c>
      <c r="E148" s="15">
        <v>120000</v>
      </c>
      <c r="F148" s="15"/>
      <c r="G148" s="14">
        <v>45756</v>
      </c>
    </row>
    <row r="149" spans="1:7" x14ac:dyDescent="0.3">
      <c r="A149" t="str">
        <f t="shared" si="8"/>
        <v>GUATAPÉ</v>
      </c>
      <c r="B149" t="str">
        <f t="shared" si="9"/>
        <v>Hotel Spa Bliss Guatape</v>
      </c>
      <c r="C149">
        <v>10</v>
      </c>
      <c r="D149">
        <v>2</v>
      </c>
      <c r="E149" s="15">
        <v>120000</v>
      </c>
      <c r="F149" s="15"/>
      <c r="G149" s="14">
        <v>45757</v>
      </c>
    </row>
    <row r="150" spans="1:7" x14ac:dyDescent="0.3">
      <c r="A150" t="str">
        <f t="shared" si="8"/>
        <v>GUATAPÉ</v>
      </c>
      <c r="B150" t="str">
        <f t="shared" si="9"/>
        <v>Hotel Spa Bliss Guatape</v>
      </c>
      <c r="C150">
        <v>10</v>
      </c>
      <c r="D150">
        <v>1</v>
      </c>
      <c r="E150" s="15">
        <v>120000</v>
      </c>
      <c r="F150" s="15"/>
      <c r="G150" s="14">
        <v>45758</v>
      </c>
    </row>
    <row r="151" spans="1:7" x14ac:dyDescent="0.3">
      <c r="A151" t="str">
        <f t="shared" si="8"/>
        <v>GUATAPÉ</v>
      </c>
      <c r="B151" t="str">
        <f t="shared" si="9"/>
        <v>Hotel Spa Bliss Guatape</v>
      </c>
      <c r="C151">
        <v>10</v>
      </c>
      <c r="D151">
        <v>5</v>
      </c>
      <c r="E151" s="15">
        <v>120000</v>
      </c>
      <c r="F151" s="15"/>
      <c r="G151" s="14">
        <v>45759</v>
      </c>
    </row>
    <row r="152" spans="1:7" x14ac:dyDescent="0.3">
      <c r="A152" t="str">
        <f t="shared" si="8"/>
        <v>GUATAPÉ</v>
      </c>
      <c r="B152" t="str">
        <f t="shared" si="9"/>
        <v>Hotel Spa Bliss Guatape</v>
      </c>
      <c r="C152">
        <v>10</v>
      </c>
      <c r="D152">
        <v>3</v>
      </c>
      <c r="E152" s="15">
        <v>120000</v>
      </c>
      <c r="F152" s="15"/>
      <c r="G152" s="14">
        <v>45760</v>
      </c>
    </row>
    <row r="153" spans="1:7" x14ac:dyDescent="0.3">
      <c r="A153" t="str">
        <f t="shared" si="8"/>
        <v>GUATAPÉ</v>
      </c>
      <c r="B153" t="str">
        <f t="shared" si="9"/>
        <v>Hotel Spa Bliss Guatape</v>
      </c>
      <c r="C153">
        <v>10</v>
      </c>
      <c r="D153">
        <v>8</v>
      </c>
      <c r="E153" s="15">
        <v>120000</v>
      </c>
      <c r="F153" s="15"/>
      <c r="G153" s="14">
        <v>45761</v>
      </c>
    </row>
    <row r="154" spans="1:7" x14ac:dyDescent="0.3">
      <c r="A154" t="str">
        <f t="shared" si="8"/>
        <v>GUATAPÉ</v>
      </c>
      <c r="B154" t="str">
        <f t="shared" si="9"/>
        <v>Hotel Spa Bliss Guatape</v>
      </c>
      <c r="C154">
        <v>10</v>
      </c>
      <c r="D154">
        <v>10</v>
      </c>
      <c r="E154" s="15">
        <v>120000</v>
      </c>
      <c r="F154" s="15"/>
      <c r="G154" s="14">
        <v>45762</v>
      </c>
    </row>
    <row r="155" spans="1:7" x14ac:dyDescent="0.3">
      <c r="A155" t="str">
        <f t="shared" si="8"/>
        <v>GUATAPÉ</v>
      </c>
      <c r="B155" t="str">
        <f t="shared" si="9"/>
        <v>Hotel Spa Bliss Guatape</v>
      </c>
      <c r="C155">
        <v>10</v>
      </c>
      <c r="D155">
        <v>9</v>
      </c>
      <c r="E155" s="15">
        <v>120000</v>
      </c>
      <c r="F155" s="15"/>
      <c r="G155" s="14">
        <v>45763</v>
      </c>
    </row>
    <row r="156" spans="1:7" x14ac:dyDescent="0.3">
      <c r="A156" t="str">
        <f t="shared" si="8"/>
        <v>GUATAPÉ</v>
      </c>
      <c r="B156" t="str">
        <f t="shared" si="9"/>
        <v>Hotel Spa Bliss Guatape</v>
      </c>
      <c r="C156">
        <v>10</v>
      </c>
      <c r="D156">
        <v>2</v>
      </c>
      <c r="E156" s="15">
        <v>120000</v>
      </c>
      <c r="F156" s="15"/>
      <c r="G156" s="14">
        <v>45764</v>
      </c>
    </row>
    <row r="157" spans="1:7" x14ac:dyDescent="0.3">
      <c r="A157" t="str">
        <f t="shared" si="8"/>
        <v>GUATAPÉ</v>
      </c>
      <c r="B157" t="str">
        <f t="shared" si="9"/>
        <v>Hotel Spa Bliss Guatape</v>
      </c>
      <c r="C157">
        <v>10</v>
      </c>
      <c r="D157">
        <v>1</v>
      </c>
      <c r="E157" s="15">
        <v>120000</v>
      </c>
      <c r="F157" s="15"/>
      <c r="G157" s="14">
        <v>45765</v>
      </c>
    </row>
    <row r="158" spans="1:7" x14ac:dyDescent="0.3">
      <c r="A158" t="str">
        <f t="shared" si="8"/>
        <v>GUATAPÉ</v>
      </c>
      <c r="B158" t="str">
        <f t="shared" si="9"/>
        <v>Hotel Spa Bliss Guatape</v>
      </c>
      <c r="C158">
        <v>10</v>
      </c>
      <c r="D158">
        <v>0</v>
      </c>
      <c r="E158" s="15">
        <v>120000</v>
      </c>
      <c r="F158" s="15"/>
      <c r="G158" s="14">
        <v>45766</v>
      </c>
    </row>
    <row r="159" spans="1:7" x14ac:dyDescent="0.3">
      <c r="A159" t="str">
        <f t="shared" si="8"/>
        <v>GUATAPÉ</v>
      </c>
      <c r="B159" t="str">
        <f t="shared" si="9"/>
        <v>Hotel Spa Bliss Guatape</v>
      </c>
      <c r="C159">
        <v>10</v>
      </c>
      <c r="D159">
        <v>0</v>
      </c>
      <c r="E159" s="15">
        <v>120000</v>
      </c>
      <c r="F159" s="15"/>
      <c r="G159" s="14">
        <v>45767</v>
      </c>
    </row>
    <row r="160" spans="1:7" x14ac:dyDescent="0.3">
      <c r="A160" t="str">
        <f t="shared" si="8"/>
        <v>GUATAPÉ</v>
      </c>
      <c r="B160" t="str">
        <f t="shared" si="9"/>
        <v>Hotel Spa Bliss Guatape</v>
      </c>
      <c r="C160">
        <v>10</v>
      </c>
      <c r="D160">
        <v>10</v>
      </c>
      <c r="E160" s="15">
        <v>120000</v>
      </c>
      <c r="F160" s="15"/>
      <c r="G160" s="14">
        <v>45768</v>
      </c>
    </row>
    <row r="161" spans="1:7" x14ac:dyDescent="0.3">
      <c r="A161" t="str">
        <f t="shared" si="8"/>
        <v>GUATAPÉ</v>
      </c>
      <c r="B161" t="str">
        <f t="shared" si="9"/>
        <v>Hotel Spa Bliss Guatape</v>
      </c>
      <c r="C161">
        <v>10</v>
      </c>
      <c r="D161">
        <v>7</v>
      </c>
      <c r="E161" s="15">
        <v>120000</v>
      </c>
      <c r="F161" s="15"/>
      <c r="G161" s="14">
        <v>45769</v>
      </c>
    </row>
    <row r="162" spans="1:7" x14ac:dyDescent="0.3">
      <c r="A162" t="str">
        <f t="shared" si="8"/>
        <v>GUATAPÉ</v>
      </c>
      <c r="B162" t="str">
        <f t="shared" si="9"/>
        <v>Hotel Spa Bliss Guatape</v>
      </c>
      <c r="C162">
        <v>10</v>
      </c>
      <c r="D162">
        <v>8</v>
      </c>
      <c r="E162" s="15">
        <v>120000</v>
      </c>
      <c r="F162" s="15"/>
      <c r="G162" s="14">
        <v>45770</v>
      </c>
    </row>
    <row r="163" spans="1:7" x14ac:dyDescent="0.3">
      <c r="A163" t="str">
        <f t="shared" si="8"/>
        <v>GUATAPÉ</v>
      </c>
      <c r="B163" t="str">
        <f t="shared" si="9"/>
        <v>Hotel Spa Bliss Guatape</v>
      </c>
      <c r="C163">
        <v>10</v>
      </c>
      <c r="D163">
        <v>9</v>
      </c>
      <c r="E163" s="15">
        <v>120000</v>
      </c>
      <c r="F163" s="15"/>
      <c r="G163" s="14">
        <v>45771</v>
      </c>
    </row>
    <row r="164" spans="1:7" x14ac:dyDescent="0.3">
      <c r="A164" t="str">
        <f t="shared" si="8"/>
        <v>GUATAPÉ</v>
      </c>
      <c r="B164" t="str">
        <f t="shared" si="9"/>
        <v>Hotel Spa Bliss Guatape</v>
      </c>
      <c r="C164">
        <v>10</v>
      </c>
      <c r="D164">
        <v>2</v>
      </c>
      <c r="E164" s="15">
        <v>120000</v>
      </c>
      <c r="F164" s="15"/>
      <c r="G164" s="14">
        <v>45772</v>
      </c>
    </row>
    <row r="165" spans="1:7" x14ac:dyDescent="0.3">
      <c r="A165" t="str">
        <f t="shared" si="8"/>
        <v>GUATAPÉ</v>
      </c>
      <c r="B165" t="str">
        <f t="shared" si="9"/>
        <v>Hotel Spa Bliss Guatape</v>
      </c>
      <c r="C165">
        <v>10</v>
      </c>
      <c r="D165">
        <v>1</v>
      </c>
      <c r="E165" s="15">
        <v>120000</v>
      </c>
      <c r="F165" s="15"/>
      <c r="G165" s="14">
        <v>45773</v>
      </c>
    </row>
    <row r="166" spans="1:7" x14ac:dyDescent="0.3">
      <c r="A166" t="str">
        <f t="shared" si="8"/>
        <v>GUATAPÉ</v>
      </c>
      <c r="B166" t="str">
        <f t="shared" si="9"/>
        <v>Hotel Spa Bliss Guatape</v>
      </c>
      <c r="C166">
        <v>10</v>
      </c>
      <c r="D166">
        <v>5</v>
      </c>
      <c r="E166" s="15">
        <v>120000</v>
      </c>
      <c r="F166" s="15"/>
      <c r="G166" s="14">
        <v>45774</v>
      </c>
    </row>
    <row r="167" spans="1:7" x14ac:dyDescent="0.3">
      <c r="A167" t="str">
        <f t="shared" si="8"/>
        <v>GUATAPÉ</v>
      </c>
      <c r="B167" t="str">
        <f t="shared" si="9"/>
        <v>Hotel Spa Bliss Guatape</v>
      </c>
      <c r="C167">
        <v>10</v>
      </c>
      <c r="D167">
        <v>6</v>
      </c>
      <c r="E167" s="15">
        <v>120000</v>
      </c>
      <c r="F167" s="15"/>
      <c r="G167" s="14">
        <v>45775</v>
      </c>
    </row>
    <row r="168" spans="1:7" x14ac:dyDescent="0.3">
      <c r="A168" t="str">
        <f t="shared" si="8"/>
        <v>GUATAPÉ</v>
      </c>
      <c r="B168" t="str">
        <f t="shared" si="9"/>
        <v>Hotel Spa Bliss Guatape</v>
      </c>
      <c r="C168">
        <v>10</v>
      </c>
      <c r="D168">
        <v>8</v>
      </c>
      <c r="E168" s="15">
        <v>120000</v>
      </c>
      <c r="F168" s="15"/>
      <c r="G168" s="14">
        <v>45776</v>
      </c>
    </row>
    <row r="169" spans="1:7" x14ac:dyDescent="0.3">
      <c r="A169" t="str">
        <f t="shared" si="8"/>
        <v>GUATAPÉ</v>
      </c>
      <c r="B169" t="str">
        <f t="shared" si="9"/>
        <v>Hotel Spa Bliss Guatape</v>
      </c>
      <c r="C169">
        <v>10</v>
      </c>
      <c r="D169">
        <v>9</v>
      </c>
      <c r="E169" s="15">
        <v>120000</v>
      </c>
      <c r="F169" s="15"/>
      <c r="G169" s="14">
        <v>45777</v>
      </c>
    </row>
    <row r="170" spans="1:7" x14ac:dyDescent="0.3">
      <c r="A170" t="s">
        <v>6</v>
      </c>
      <c r="B170" t="s">
        <v>43</v>
      </c>
      <c r="E170" s="15"/>
      <c r="F170" s="15"/>
      <c r="G170" s="14">
        <v>45736</v>
      </c>
    </row>
    <row r="171" spans="1:7" x14ac:dyDescent="0.3">
      <c r="A171" t="str">
        <f t="shared" ref="A171:A211" si="10">+A170</f>
        <v>MARINILLA, ANTIOQUIA</v>
      </c>
      <c r="B171" t="str">
        <f t="shared" ref="B171:B211" si="11">+B170</f>
        <v>Aeropuerto Rionegro- Medellin Hotel Mansión Sant Serrant</v>
      </c>
      <c r="E171" s="15"/>
      <c r="F171" s="15"/>
      <c r="G171" s="14">
        <v>45737</v>
      </c>
    </row>
    <row r="172" spans="1:7" x14ac:dyDescent="0.3">
      <c r="A172" t="str">
        <f t="shared" si="10"/>
        <v>MARINILLA, ANTIOQUIA</v>
      </c>
      <c r="B172" t="str">
        <f t="shared" si="11"/>
        <v>Aeropuerto Rionegro- Medellin Hotel Mansión Sant Serrant</v>
      </c>
      <c r="E172" s="15"/>
      <c r="F172" s="15"/>
      <c r="G172" s="14">
        <v>45738</v>
      </c>
    </row>
    <row r="173" spans="1:7" x14ac:dyDescent="0.3">
      <c r="A173" t="str">
        <f t="shared" si="10"/>
        <v>MARINILLA, ANTIOQUIA</v>
      </c>
      <c r="B173" t="str">
        <f t="shared" si="11"/>
        <v>Aeropuerto Rionegro- Medellin Hotel Mansión Sant Serrant</v>
      </c>
      <c r="E173" s="15"/>
      <c r="F173" s="15"/>
      <c r="G173" s="14">
        <v>45739</v>
      </c>
    </row>
    <row r="174" spans="1:7" x14ac:dyDescent="0.3">
      <c r="A174" t="str">
        <f t="shared" si="10"/>
        <v>MARINILLA, ANTIOQUIA</v>
      </c>
      <c r="B174" t="str">
        <f t="shared" si="11"/>
        <v>Aeropuerto Rionegro- Medellin Hotel Mansión Sant Serrant</v>
      </c>
      <c r="E174" s="15"/>
      <c r="F174" s="15"/>
      <c r="G174" s="14">
        <v>45740</v>
      </c>
    </row>
    <row r="175" spans="1:7" x14ac:dyDescent="0.3">
      <c r="A175" t="str">
        <f t="shared" si="10"/>
        <v>MARINILLA, ANTIOQUIA</v>
      </c>
      <c r="B175" t="str">
        <f t="shared" si="11"/>
        <v>Aeropuerto Rionegro- Medellin Hotel Mansión Sant Serrant</v>
      </c>
      <c r="E175" s="15"/>
      <c r="F175" s="15"/>
      <c r="G175" s="14">
        <v>45741</v>
      </c>
    </row>
    <row r="176" spans="1:7" x14ac:dyDescent="0.3">
      <c r="A176" t="str">
        <f t="shared" si="10"/>
        <v>MARINILLA, ANTIOQUIA</v>
      </c>
      <c r="B176" t="str">
        <f t="shared" si="11"/>
        <v>Aeropuerto Rionegro- Medellin Hotel Mansión Sant Serrant</v>
      </c>
      <c r="E176" s="15"/>
      <c r="F176" s="15"/>
      <c r="G176" s="14">
        <v>45742</v>
      </c>
    </row>
    <row r="177" spans="1:7" x14ac:dyDescent="0.3">
      <c r="A177" t="str">
        <f t="shared" si="10"/>
        <v>MARINILLA, ANTIOQUIA</v>
      </c>
      <c r="B177" t="str">
        <f t="shared" si="11"/>
        <v>Aeropuerto Rionegro- Medellin Hotel Mansión Sant Serrant</v>
      </c>
      <c r="E177" s="15"/>
      <c r="F177" s="15"/>
      <c r="G177" s="14">
        <v>45743</v>
      </c>
    </row>
    <row r="178" spans="1:7" x14ac:dyDescent="0.3">
      <c r="A178" t="str">
        <f t="shared" si="10"/>
        <v>MARINILLA, ANTIOQUIA</v>
      </c>
      <c r="B178" t="str">
        <f t="shared" si="11"/>
        <v>Aeropuerto Rionegro- Medellin Hotel Mansión Sant Serrant</v>
      </c>
      <c r="E178" s="15"/>
      <c r="F178" s="15"/>
      <c r="G178" s="14">
        <v>45744</v>
      </c>
    </row>
    <row r="179" spans="1:7" x14ac:dyDescent="0.3">
      <c r="A179" t="str">
        <f t="shared" si="10"/>
        <v>MARINILLA, ANTIOQUIA</v>
      </c>
      <c r="B179" t="str">
        <f t="shared" si="11"/>
        <v>Aeropuerto Rionegro- Medellin Hotel Mansión Sant Serrant</v>
      </c>
      <c r="E179" s="15"/>
      <c r="F179" s="15"/>
      <c r="G179" s="14">
        <v>45745</v>
      </c>
    </row>
    <row r="180" spans="1:7" x14ac:dyDescent="0.3">
      <c r="A180" t="str">
        <f t="shared" si="10"/>
        <v>MARINILLA, ANTIOQUIA</v>
      </c>
      <c r="B180" t="str">
        <f t="shared" si="11"/>
        <v>Aeropuerto Rionegro- Medellin Hotel Mansión Sant Serrant</v>
      </c>
      <c r="E180" s="15"/>
      <c r="F180" s="15"/>
      <c r="G180" s="14">
        <v>45746</v>
      </c>
    </row>
    <row r="181" spans="1:7" x14ac:dyDescent="0.3">
      <c r="A181" t="str">
        <f t="shared" si="10"/>
        <v>MARINILLA, ANTIOQUIA</v>
      </c>
      <c r="B181" t="str">
        <f t="shared" si="11"/>
        <v>Aeropuerto Rionegro- Medellin Hotel Mansión Sant Serrant</v>
      </c>
      <c r="E181" s="15"/>
      <c r="F181" s="15"/>
      <c r="G181" s="14">
        <v>45747</v>
      </c>
    </row>
    <row r="182" spans="1:7" x14ac:dyDescent="0.3">
      <c r="A182" t="str">
        <f t="shared" si="10"/>
        <v>MARINILLA, ANTIOQUIA</v>
      </c>
      <c r="B182" t="str">
        <f t="shared" si="11"/>
        <v>Aeropuerto Rionegro- Medellin Hotel Mansión Sant Serrant</v>
      </c>
      <c r="E182" s="15"/>
      <c r="F182" s="15"/>
      <c r="G182" s="14">
        <v>45748</v>
      </c>
    </row>
    <row r="183" spans="1:7" x14ac:dyDescent="0.3">
      <c r="A183" t="str">
        <f t="shared" si="10"/>
        <v>MARINILLA, ANTIOQUIA</v>
      </c>
      <c r="B183" t="str">
        <f t="shared" si="11"/>
        <v>Aeropuerto Rionegro- Medellin Hotel Mansión Sant Serrant</v>
      </c>
      <c r="E183" s="15"/>
      <c r="F183" s="15"/>
      <c r="G183" s="14">
        <v>45749</v>
      </c>
    </row>
    <row r="184" spans="1:7" x14ac:dyDescent="0.3">
      <c r="A184" t="str">
        <f t="shared" si="10"/>
        <v>MARINILLA, ANTIOQUIA</v>
      </c>
      <c r="B184" t="str">
        <f t="shared" si="11"/>
        <v>Aeropuerto Rionegro- Medellin Hotel Mansión Sant Serrant</v>
      </c>
      <c r="E184" s="15"/>
      <c r="F184" s="15"/>
      <c r="G184" s="14">
        <v>45750</v>
      </c>
    </row>
    <row r="185" spans="1:7" x14ac:dyDescent="0.3">
      <c r="A185" t="str">
        <f t="shared" si="10"/>
        <v>MARINILLA, ANTIOQUIA</v>
      </c>
      <c r="B185" t="str">
        <f t="shared" si="11"/>
        <v>Aeropuerto Rionegro- Medellin Hotel Mansión Sant Serrant</v>
      </c>
      <c r="E185" s="15"/>
      <c r="F185" s="15"/>
      <c r="G185" s="14">
        <v>45751</v>
      </c>
    </row>
    <row r="186" spans="1:7" x14ac:dyDescent="0.3">
      <c r="A186" t="str">
        <f t="shared" si="10"/>
        <v>MARINILLA, ANTIOQUIA</v>
      </c>
      <c r="B186" t="str">
        <f t="shared" si="11"/>
        <v>Aeropuerto Rionegro- Medellin Hotel Mansión Sant Serrant</v>
      </c>
      <c r="E186" s="15"/>
      <c r="F186" s="15"/>
      <c r="G186" s="14">
        <v>45752</v>
      </c>
    </row>
    <row r="187" spans="1:7" x14ac:dyDescent="0.3">
      <c r="A187" t="str">
        <f t="shared" si="10"/>
        <v>MARINILLA, ANTIOQUIA</v>
      </c>
      <c r="B187" t="str">
        <f t="shared" si="11"/>
        <v>Aeropuerto Rionegro- Medellin Hotel Mansión Sant Serrant</v>
      </c>
      <c r="E187" s="15"/>
      <c r="F187" s="15"/>
      <c r="G187" s="14">
        <v>45753</v>
      </c>
    </row>
    <row r="188" spans="1:7" x14ac:dyDescent="0.3">
      <c r="A188" t="str">
        <f t="shared" si="10"/>
        <v>MARINILLA, ANTIOQUIA</v>
      </c>
      <c r="B188" t="str">
        <f t="shared" si="11"/>
        <v>Aeropuerto Rionegro- Medellin Hotel Mansión Sant Serrant</v>
      </c>
      <c r="E188" s="15"/>
      <c r="F188" s="15"/>
      <c r="G188" s="14">
        <v>45754</v>
      </c>
    </row>
    <row r="189" spans="1:7" x14ac:dyDescent="0.3">
      <c r="A189" t="str">
        <f t="shared" si="10"/>
        <v>MARINILLA, ANTIOQUIA</v>
      </c>
      <c r="B189" t="str">
        <f t="shared" si="11"/>
        <v>Aeropuerto Rionegro- Medellin Hotel Mansión Sant Serrant</v>
      </c>
      <c r="E189" s="15"/>
      <c r="F189" s="15"/>
      <c r="G189" s="14">
        <v>45755</v>
      </c>
    </row>
    <row r="190" spans="1:7" x14ac:dyDescent="0.3">
      <c r="A190" t="str">
        <f t="shared" si="10"/>
        <v>MARINILLA, ANTIOQUIA</v>
      </c>
      <c r="B190" t="str">
        <f t="shared" si="11"/>
        <v>Aeropuerto Rionegro- Medellin Hotel Mansión Sant Serrant</v>
      </c>
      <c r="E190" s="15"/>
      <c r="F190" s="15"/>
      <c r="G190" s="14">
        <v>45756</v>
      </c>
    </row>
    <row r="191" spans="1:7" x14ac:dyDescent="0.3">
      <c r="A191" t="str">
        <f t="shared" si="10"/>
        <v>MARINILLA, ANTIOQUIA</v>
      </c>
      <c r="B191" t="str">
        <f t="shared" si="11"/>
        <v>Aeropuerto Rionegro- Medellin Hotel Mansión Sant Serrant</v>
      </c>
      <c r="E191" s="15"/>
      <c r="F191" s="15"/>
      <c r="G191" s="14">
        <v>45757</v>
      </c>
    </row>
    <row r="192" spans="1:7" x14ac:dyDescent="0.3">
      <c r="A192" t="str">
        <f t="shared" si="10"/>
        <v>MARINILLA, ANTIOQUIA</v>
      </c>
      <c r="B192" t="str">
        <f t="shared" si="11"/>
        <v>Aeropuerto Rionegro- Medellin Hotel Mansión Sant Serrant</v>
      </c>
      <c r="E192" s="15"/>
      <c r="F192" s="15"/>
      <c r="G192" s="14">
        <v>45758</v>
      </c>
    </row>
    <row r="193" spans="1:7" x14ac:dyDescent="0.3">
      <c r="A193" t="str">
        <f t="shared" si="10"/>
        <v>MARINILLA, ANTIOQUIA</v>
      </c>
      <c r="B193" t="str">
        <f t="shared" si="11"/>
        <v>Aeropuerto Rionegro- Medellin Hotel Mansión Sant Serrant</v>
      </c>
      <c r="E193" s="15"/>
      <c r="F193" s="15"/>
      <c r="G193" s="14">
        <v>45759</v>
      </c>
    </row>
    <row r="194" spans="1:7" x14ac:dyDescent="0.3">
      <c r="A194" t="str">
        <f t="shared" si="10"/>
        <v>MARINILLA, ANTIOQUIA</v>
      </c>
      <c r="B194" t="str">
        <f t="shared" si="11"/>
        <v>Aeropuerto Rionegro- Medellin Hotel Mansión Sant Serrant</v>
      </c>
      <c r="E194" s="15"/>
      <c r="F194" s="15"/>
      <c r="G194" s="14">
        <v>45760</v>
      </c>
    </row>
    <row r="195" spans="1:7" x14ac:dyDescent="0.3">
      <c r="A195" t="str">
        <f t="shared" si="10"/>
        <v>MARINILLA, ANTIOQUIA</v>
      </c>
      <c r="B195" t="str">
        <f t="shared" si="11"/>
        <v>Aeropuerto Rionegro- Medellin Hotel Mansión Sant Serrant</v>
      </c>
      <c r="E195" s="15"/>
      <c r="F195" s="15"/>
      <c r="G195" s="14">
        <v>45761</v>
      </c>
    </row>
    <row r="196" spans="1:7" x14ac:dyDescent="0.3">
      <c r="A196" t="str">
        <f t="shared" si="10"/>
        <v>MARINILLA, ANTIOQUIA</v>
      </c>
      <c r="B196" t="str">
        <f t="shared" si="11"/>
        <v>Aeropuerto Rionegro- Medellin Hotel Mansión Sant Serrant</v>
      </c>
      <c r="E196" s="15"/>
      <c r="F196" s="15"/>
      <c r="G196" s="14">
        <v>45762</v>
      </c>
    </row>
    <row r="197" spans="1:7" x14ac:dyDescent="0.3">
      <c r="A197" t="str">
        <f t="shared" si="10"/>
        <v>MARINILLA, ANTIOQUIA</v>
      </c>
      <c r="B197" t="str">
        <f t="shared" si="11"/>
        <v>Aeropuerto Rionegro- Medellin Hotel Mansión Sant Serrant</v>
      </c>
      <c r="E197" s="15"/>
      <c r="F197" s="15"/>
      <c r="G197" s="14">
        <v>45763</v>
      </c>
    </row>
    <row r="198" spans="1:7" x14ac:dyDescent="0.3">
      <c r="A198" t="str">
        <f t="shared" si="10"/>
        <v>MARINILLA, ANTIOQUIA</v>
      </c>
      <c r="B198" t="str">
        <f t="shared" si="11"/>
        <v>Aeropuerto Rionegro- Medellin Hotel Mansión Sant Serrant</v>
      </c>
      <c r="E198" s="15"/>
      <c r="F198" s="15"/>
      <c r="G198" s="14">
        <v>45764</v>
      </c>
    </row>
    <row r="199" spans="1:7" x14ac:dyDescent="0.3">
      <c r="A199" t="str">
        <f t="shared" si="10"/>
        <v>MARINILLA, ANTIOQUIA</v>
      </c>
      <c r="B199" t="str">
        <f t="shared" si="11"/>
        <v>Aeropuerto Rionegro- Medellin Hotel Mansión Sant Serrant</v>
      </c>
      <c r="E199" s="15"/>
      <c r="F199" s="15"/>
      <c r="G199" s="14">
        <v>45765</v>
      </c>
    </row>
    <row r="200" spans="1:7" x14ac:dyDescent="0.3">
      <c r="A200" t="str">
        <f t="shared" si="10"/>
        <v>MARINILLA, ANTIOQUIA</v>
      </c>
      <c r="B200" t="str">
        <f t="shared" si="11"/>
        <v>Aeropuerto Rionegro- Medellin Hotel Mansión Sant Serrant</v>
      </c>
      <c r="E200" s="15"/>
      <c r="F200" s="15"/>
      <c r="G200" s="14">
        <v>45766</v>
      </c>
    </row>
    <row r="201" spans="1:7" x14ac:dyDescent="0.3">
      <c r="A201" t="str">
        <f t="shared" si="10"/>
        <v>MARINILLA, ANTIOQUIA</v>
      </c>
      <c r="B201" t="str">
        <f t="shared" si="11"/>
        <v>Aeropuerto Rionegro- Medellin Hotel Mansión Sant Serrant</v>
      </c>
      <c r="E201" s="15"/>
      <c r="F201" s="15"/>
      <c r="G201" s="14">
        <v>45767</v>
      </c>
    </row>
    <row r="202" spans="1:7" x14ac:dyDescent="0.3">
      <c r="A202" t="str">
        <f t="shared" si="10"/>
        <v>MARINILLA, ANTIOQUIA</v>
      </c>
      <c r="B202" t="str">
        <f t="shared" si="11"/>
        <v>Aeropuerto Rionegro- Medellin Hotel Mansión Sant Serrant</v>
      </c>
      <c r="E202" s="15"/>
      <c r="F202" s="15"/>
      <c r="G202" s="14">
        <v>45768</v>
      </c>
    </row>
    <row r="203" spans="1:7" x14ac:dyDescent="0.3">
      <c r="A203" t="str">
        <f t="shared" si="10"/>
        <v>MARINILLA, ANTIOQUIA</v>
      </c>
      <c r="B203" t="str">
        <f t="shared" si="11"/>
        <v>Aeropuerto Rionegro- Medellin Hotel Mansión Sant Serrant</v>
      </c>
      <c r="E203" s="15"/>
      <c r="F203" s="15"/>
      <c r="G203" s="14">
        <v>45769</v>
      </c>
    </row>
    <row r="204" spans="1:7" x14ac:dyDescent="0.3">
      <c r="A204" t="str">
        <f t="shared" si="10"/>
        <v>MARINILLA, ANTIOQUIA</v>
      </c>
      <c r="B204" t="str">
        <f t="shared" si="11"/>
        <v>Aeropuerto Rionegro- Medellin Hotel Mansión Sant Serrant</v>
      </c>
      <c r="E204" s="15"/>
      <c r="F204" s="15"/>
      <c r="G204" s="14">
        <v>45770</v>
      </c>
    </row>
    <row r="205" spans="1:7" x14ac:dyDescent="0.3">
      <c r="A205" t="str">
        <f t="shared" si="10"/>
        <v>MARINILLA, ANTIOQUIA</v>
      </c>
      <c r="B205" t="str">
        <f t="shared" si="11"/>
        <v>Aeropuerto Rionegro- Medellin Hotel Mansión Sant Serrant</v>
      </c>
      <c r="E205" s="15"/>
      <c r="F205" s="15"/>
      <c r="G205" s="14">
        <v>45771</v>
      </c>
    </row>
    <row r="206" spans="1:7" x14ac:dyDescent="0.3">
      <c r="A206" t="str">
        <f t="shared" si="10"/>
        <v>MARINILLA, ANTIOQUIA</v>
      </c>
      <c r="B206" t="str">
        <f t="shared" si="11"/>
        <v>Aeropuerto Rionegro- Medellin Hotel Mansión Sant Serrant</v>
      </c>
      <c r="E206" s="15"/>
      <c r="F206" s="15"/>
      <c r="G206" s="14">
        <v>45772</v>
      </c>
    </row>
    <row r="207" spans="1:7" x14ac:dyDescent="0.3">
      <c r="A207" t="str">
        <f t="shared" si="10"/>
        <v>MARINILLA, ANTIOQUIA</v>
      </c>
      <c r="B207" t="str">
        <f t="shared" si="11"/>
        <v>Aeropuerto Rionegro- Medellin Hotel Mansión Sant Serrant</v>
      </c>
      <c r="E207" s="15"/>
      <c r="F207" s="15"/>
      <c r="G207" s="14">
        <v>45773</v>
      </c>
    </row>
    <row r="208" spans="1:7" x14ac:dyDescent="0.3">
      <c r="A208" t="str">
        <f t="shared" si="10"/>
        <v>MARINILLA, ANTIOQUIA</v>
      </c>
      <c r="B208" t="str">
        <f t="shared" si="11"/>
        <v>Aeropuerto Rionegro- Medellin Hotel Mansión Sant Serrant</v>
      </c>
      <c r="E208" s="15"/>
      <c r="F208" s="15"/>
      <c r="G208" s="14">
        <v>45774</v>
      </c>
    </row>
    <row r="209" spans="1:7" x14ac:dyDescent="0.3">
      <c r="A209" t="str">
        <f t="shared" si="10"/>
        <v>MARINILLA, ANTIOQUIA</v>
      </c>
      <c r="B209" t="str">
        <f t="shared" si="11"/>
        <v>Aeropuerto Rionegro- Medellin Hotel Mansión Sant Serrant</v>
      </c>
      <c r="E209" s="15"/>
      <c r="F209" s="15"/>
      <c r="G209" s="14">
        <v>45775</v>
      </c>
    </row>
    <row r="210" spans="1:7" x14ac:dyDescent="0.3">
      <c r="A210" t="str">
        <f t="shared" si="10"/>
        <v>MARINILLA, ANTIOQUIA</v>
      </c>
      <c r="B210" t="str">
        <f t="shared" si="11"/>
        <v>Aeropuerto Rionegro- Medellin Hotel Mansión Sant Serrant</v>
      </c>
      <c r="E210" s="15"/>
      <c r="F210" s="15"/>
      <c r="G210" s="14">
        <v>45776</v>
      </c>
    </row>
    <row r="211" spans="1:7" x14ac:dyDescent="0.3">
      <c r="A211" t="str">
        <f t="shared" si="10"/>
        <v>MARINILLA, ANTIOQUIA</v>
      </c>
      <c r="B211" t="str">
        <f t="shared" si="11"/>
        <v>Aeropuerto Rionegro- Medellin Hotel Mansión Sant Serrant</v>
      </c>
      <c r="E211" s="15"/>
      <c r="F211" s="15"/>
      <c r="G211" s="14">
        <v>45777</v>
      </c>
    </row>
    <row r="212" spans="1:7" x14ac:dyDescent="0.3">
      <c r="A212" t="s">
        <v>7</v>
      </c>
      <c r="B212" t="s">
        <v>45</v>
      </c>
      <c r="E212" s="15"/>
      <c r="F212" s="15"/>
      <c r="G212" s="14">
        <v>45736</v>
      </c>
    </row>
    <row r="213" spans="1:7" x14ac:dyDescent="0.3">
      <c r="A213" t="str">
        <f t="shared" ref="A213:A253" si="12">+A212</f>
        <v>GUATAPÉ</v>
      </c>
      <c r="B213" t="str">
        <f t="shared" ref="B213:B253" si="13">+B212</f>
        <v>Hobbit Hotel Ecolodge- Guatapé</v>
      </c>
      <c r="E213" s="15"/>
      <c r="F213" s="15"/>
      <c r="G213" s="14">
        <v>45737</v>
      </c>
    </row>
    <row r="214" spans="1:7" x14ac:dyDescent="0.3">
      <c r="A214" t="str">
        <f t="shared" si="12"/>
        <v>GUATAPÉ</v>
      </c>
      <c r="B214" t="str">
        <f t="shared" si="13"/>
        <v>Hobbit Hotel Ecolodge- Guatapé</v>
      </c>
      <c r="E214" s="15"/>
      <c r="F214" s="15"/>
      <c r="G214" s="14">
        <v>45738</v>
      </c>
    </row>
    <row r="215" spans="1:7" x14ac:dyDescent="0.3">
      <c r="A215" t="str">
        <f t="shared" si="12"/>
        <v>GUATAPÉ</v>
      </c>
      <c r="B215" t="str">
        <f t="shared" si="13"/>
        <v>Hobbit Hotel Ecolodge- Guatapé</v>
      </c>
      <c r="E215" s="15"/>
      <c r="F215" s="15"/>
      <c r="G215" s="14">
        <v>45739</v>
      </c>
    </row>
    <row r="216" spans="1:7" x14ac:dyDescent="0.3">
      <c r="A216" t="str">
        <f t="shared" si="12"/>
        <v>GUATAPÉ</v>
      </c>
      <c r="B216" t="str">
        <f t="shared" si="13"/>
        <v>Hobbit Hotel Ecolodge- Guatapé</v>
      </c>
      <c r="E216" s="15"/>
      <c r="F216" s="15"/>
      <c r="G216" s="14">
        <v>45740</v>
      </c>
    </row>
    <row r="217" spans="1:7" x14ac:dyDescent="0.3">
      <c r="A217" t="str">
        <f t="shared" si="12"/>
        <v>GUATAPÉ</v>
      </c>
      <c r="B217" t="str">
        <f t="shared" si="13"/>
        <v>Hobbit Hotel Ecolodge- Guatapé</v>
      </c>
      <c r="E217" s="15"/>
      <c r="F217" s="15"/>
      <c r="G217" s="14">
        <v>45741</v>
      </c>
    </row>
    <row r="218" spans="1:7" x14ac:dyDescent="0.3">
      <c r="A218" t="str">
        <f t="shared" si="12"/>
        <v>GUATAPÉ</v>
      </c>
      <c r="B218" t="str">
        <f t="shared" si="13"/>
        <v>Hobbit Hotel Ecolodge- Guatapé</v>
      </c>
      <c r="E218" s="15"/>
      <c r="F218" s="15"/>
      <c r="G218" s="14">
        <v>45742</v>
      </c>
    </row>
    <row r="219" spans="1:7" x14ac:dyDescent="0.3">
      <c r="A219" t="str">
        <f t="shared" si="12"/>
        <v>GUATAPÉ</v>
      </c>
      <c r="B219" t="str">
        <f t="shared" si="13"/>
        <v>Hobbit Hotel Ecolodge- Guatapé</v>
      </c>
      <c r="E219" s="15"/>
      <c r="F219" s="15"/>
      <c r="G219" s="14">
        <v>45743</v>
      </c>
    </row>
    <row r="220" spans="1:7" x14ac:dyDescent="0.3">
      <c r="A220" t="str">
        <f t="shared" si="12"/>
        <v>GUATAPÉ</v>
      </c>
      <c r="B220" t="str">
        <f t="shared" si="13"/>
        <v>Hobbit Hotel Ecolodge- Guatapé</v>
      </c>
      <c r="E220" s="15"/>
      <c r="F220" s="15"/>
      <c r="G220" s="14">
        <v>45744</v>
      </c>
    </row>
    <row r="221" spans="1:7" x14ac:dyDescent="0.3">
      <c r="A221" t="str">
        <f t="shared" si="12"/>
        <v>GUATAPÉ</v>
      </c>
      <c r="B221" t="str">
        <f t="shared" si="13"/>
        <v>Hobbit Hotel Ecolodge- Guatapé</v>
      </c>
      <c r="E221" s="15"/>
      <c r="F221" s="15"/>
      <c r="G221" s="14">
        <v>45745</v>
      </c>
    </row>
    <row r="222" spans="1:7" x14ac:dyDescent="0.3">
      <c r="A222" t="str">
        <f t="shared" si="12"/>
        <v>GUATAPÉ</v>
      </c>
      <c r="B222" t="str">
        <f t="shared" si="13"/>
        <v>Hobbit Hotel Ecolodge- Guatapé</v>
      </c>
      <c r="E222" s="15"/>
      <c r="F222" s="15"/>
      <c r="G222" s="14">
        <v>45746</v>
      </c>
    </row>
    <row r="223" spans="1:7" x14ac:dyDescent="0.3">
      <c r="A223" t="str">
        <f t="shared" si="12"/>
        <v>GUATAPÉ</v>
      </c>
      <c r="B223" t="str">
        <f t="shared" si="13"/>
        <v>Hobbit Hotel Ecolodge- Guatapé</v>
      </c>
      <c r="E223" s="15"/>
      <c r="F223" s="15"/>
      <c r="G223" s="14">
        <v>45747</v>
      </c>
    </row>
    <row r="224" spans="1:7" x14ac:dyDescent="0.3">
      <c r="A224" t="str">
        <f t="shared" si="12"/>
        <v>GUATAPÉ</v>
      </c>
      <c r="B224" t="str">
        <f t="shared" si="13"/>
        <v>Hobbit Hotel Ecolodge- Guatapé</v>
      </c>
      <c r="E224" s="15"/>
      <c r="F224" s="15"/>
      <c r="G224" s="14">
        <v>45748</v>
      </c>
    </row>
    <row r="225" spans="1:7" x14ac:dyDescent="0.3">
      <c r="A225" t="str">
        <f t="shared" si="12"/>
        <v>GUATAPÉ</v>
      </c>
      <c r="B225" t="str">
        <f t="shared" si="13"/>
        <v>Hobbit Hotel Ecolodge- Guatapé</v>
      </c>
      <c r="E225" s="15"/>
      <c r="F225" s="15"/>
      <c r="G225" s="14">
        <v>45749</v>
      </c>
    </row>
    <row r="226" spans="1:7" x14ac:dyDescent="0.3">
      <c r="A226" t="str">
        <f t="shared" si="12"/>
        <v>GUATAPÉ</v>
      </c>
      <c r="B226" t="str">
        <f t="shared" si="13"/>
        <v>Hobbit Hotel Ecolodge- Guatapé</v>
      </c>
      <c r="E226" s="15"/>
      <c r="F226" s="15"/>
      <c r="G226" s="14">
        <v>45750</v>
      </c>
    </row>
    <row r="227" spans="1:7" x14ac:dyDescent="0.3">
      <c r="A227" t="str">
        <f t="shared" si="12"/>
        <v>GUATAPÉ</v>
      </c>
      <c r="B227" t="str">
        <f t="shared" si="13"/>
        <v>Hobbit Hotel Ecolodge- Guatapé</v>
      </c>
      <c r="E227" s="15"/>
      <c r="F227" s="15"/>
      <c r="G227" s="14">
        <v>45751</v>
      </c>
    </row>
    <row r="228" spans="1:7" x14ac:dyDescent="0.3">
      <c r="A228" t="str">
        <f t="shared" si="12"/>
        <v>GUATAPÉ</v>
      </c>
      <c r="B228" t="str">
        <f t="shared" si="13"/>
        <v>Hobbit Hotel Ecolodge- Guatapé</v>
      </c>
      <c r="E228" s="15"/>
      <c r="F228" s="15"/>
      <c r="G228" s="14">
        <v>45752</v>
      </c>
    </row>
    <row r="229" spans="1:7" x14ac:dyDescent="0.3">
      <c r="A229" t="str">
        <f t="shared" si="12"/>
        <v>GUATAPÉ</v>
      </c>
      <c r="B229" t="str">
        <f t="shared" si="13"/>
        <v>Hobbit Hotel Ecolodge- Guatapé</v>
      </c>
      <c r="E229" s="15"/>
      <c r="F229" s="15"/>
      <c r="G229" s="14">
        <v>45753</v>
      </c>
    </row>
    <row r="230" spans="1:7" x14ac:dyDescent="0.3">
      <c r="A230" t="str">
        <f t="shared" si="12"/>
        <v>GUATAPÉ</v>
      </c>
      <c r="B230" t="str">
        <f t="shared" si="13"/>
        <v>Hobbit Hotel Ecolodge- Guatapé</v>
      </c>
      <c r="E230" s="15"/>
      <c r="F230" s="15"/>
      <c r="G230" s="14">
        <v>45754</v>
      </c>
    </row>
    <row r="231" spans="1:7" x14ac:dyDescent="0.3">
      <c r="A231" t="str">
        <f t="shared" si="12"/>
        <v>GUATAPÉ</v>
      </c>
      <c r="B231" t="str">
        <f t="shared" si="13"/>
        <v>Hobbit Hotel Ecolodge- Guatapé</v>
      </c>
      <c r="E231" s="15"/>
      <c r="F231" s="15"/>
      <c r="G231" s="14">
        <v>45755</v>
      </c>
    </row>
    <row r="232" spans="1:7" x14ac:dyDescent="0.3">
      <c r="A232" t="str">
        <f t="shared" si="12"/>
        <v>GUATAPÉ</v>
      </c>
      <c r="B232" t="str">
        <f t="shared" si="13"/>
        <v>Hobbit Hotel Ecolodge- Guatapé</v>
      </c>
      <c r="E232" s="15"/>
      <c r="F232" s="15"/>
      <c r="G232" s="14">
        <v>45756</v>
      </c>
    </row>
    <row r="233" spans="1:7" x14ac:dyDescent="0.3">
      <c r="A233" t="str">
        <f t="shared" si="12"/>
        <v>GUATAPÉ</v>
      </c>
      <c r="B233" t="str">
        <f t="shared" si="13"/>
        <v>Hobbit Hotel Ecolodge- Guatapé</v>
      </c>
      <c r="E233" s="15"/>
      <c r="F233" s="15"/>
      <c r="G233" s="14">
        <v>45757</v>
      </c>
    </row>
    <row r="234" spans="1:7" x14ac:dyDescent="0.3">
      <c r="A234" t="str">
        <f t="shared" si="12"/>
        <v>GUATAPÉ</v>
      </c>
      <c r="B234" t="str">
        <f t="shared" si="13"/>
        <v>Hobbit Hotel Ecolodge- Guatapé</v>
      </c>
      <c r="E234" s="15"/>
      <c r="F234" s="15"/>
      <c r="G234" s="14">
        <v>45758</v>
      </c>
    </row>
    <row r="235" spans="1:7" x14ac:dyDescent="0.3">
      <c r="A235" t="str">
        <f t="shared" si="12"/>
        <v>GUATAPÉ</v>
      </c>
      <c r="B235" t="str">
        <f t="shared" si="13"/>
        <v>Hobbit Hotel Ecolodge- Guatapé</v>
      </c>
      <c r="E235" s="15"/>
      <c r="F235" s="15"/>
      <c r="G235" s="14">
        <v>45759</v>
      </c>
    </row>
    <row r="236" spans="1:7" x14ac:dyDescent="0.3">
      <c r="A236" t="str">
        <f t="shared" si="12"/>
        <v>GUATAPÉ</v>
      </c>
      <c r="B236" t="str">
        <f t="shared" si="13"/>
        <v>Hobbit Hotel Ecolodge- Guatapé</v>
      </c>
      <c r="E236" s="15"/>
      <c r="F236" s="15"/>
      <c r="G236" s="14">
        <v>45760</v>
      </c>
    </row>
    <row r="237" spans="1:7" x14ac:dyDescent="0.3">
      <c r="A237" t="str">
        <f t="shared" si="12"/>
        <v>GUATAPÉ</v>
      </c>
      <c r="B237" t="str">
        <f t="shared" si="13"/>
        <v>Hobbit Hotel Ecolodge- Guatapé</v>
      </c>
      <c r="E237" s="15"/>
      <c r="F237" s="15"/>
      <c r="G237" s="14">
        <v>45761</v>
      </c>
    </row>
    <row r="238" spans="1:7" x14ac:dyDescent="0.3">
      <c r="A238" t="str">
        <f t="shared" si="12"/>
        <v>GUATAPÉ</v>
      </c>
      <c r="B238" t="str">
        <f t="shared" si="13"/>
        <v>Hobbit Hotel Ecolodge- Guatapé</v>
      </c>
      <c r="E238" s="15"/>
      <c r="F238" s="15"/>
      <c r="G238" s="14">
        <v>45762</v>
      </c>
    </row>
    <row r="239" spans="1:7" x14ac:dyDescent="0.3">
      <c r="A239" t="str">
        <f t="shared" si="12"/>
        <v>GUATAPÉ</v>
      </c>
      <c r="B239" t="str">
        <f t="shared" si="13"/>
        <v>Hobbit Hotel Ecolodge- Guatapé</v>
      </c>
      <c r="E239" s="15"/>
      <c r="F239" s="15"/>
      <c r="G239" s="14">
        <v>45763</v>
      </c>
    </row>
    <row r="240" spans="1:7" x14ac:dyDescent="0.3">
      <c r="A240" t="str">
        <f t="shared" si="12"/>
        <v>GUATAPÉ</v>
      </c>
      <c r="B240" t="str">
        <f t="shared" si="13"/>
        <v>Hobbit Hotel Ecolodge- Guatapé</v>
      </c>
      <c r="E240" s="15"/>
      <c r="F240" s="15"/>
      <c r="G240" s="14">
        <v>45764</v>
      </c>
    </row>
    <row r="241" spans="1:7" x14ac:dyDescent="0.3">
      <c r="A241" t="str">
        <f t="shared" si="12"/>
        <v>GUATAPÉ</v>
      </c>
      <c r="B241" t="str">
        <f t="shared" si="13"/>
        <v>Hobbit Hotel Ecolodge- Guatapé</v>
      </c>
      <c r="E241" s="15"/>
      <c r="F241" s="15"/>
      <c r="G241" s="14">
        <v>45765</v>
      </c>
    </row>
    <row r="242" spans="1:7" x14ac:dyDescent="0.3">
      <c r="A242" t="str">
        <f t="shared" si="12"/>
        <v>GUATAPÉ</v>
      </c>
      <c r="B242" t="str">
        <f t="shared" si="13"/>
        <v>Hobbit Hotel Ecolodge- Guatapé</v>
      </c>
      <c r="E242" s="15"/>
      <c r="F242" s="15"/>
      <c r="G242" s="14">
        <v>45766</v>
      </c>
    </row>
    <row r="243" spans="1:7" x14ac:dyDescent="0.3">
      <c r="A243" t="str">
        <f t="shared" si="12"/>
        <v>GUATAPÉ</v>
      </c>
      <c r="B243" t="str">
        <f t="shared" si="13"/>
        <v>Hobbit Hotel Ecolodge- Guatapé</v>
      </c>
      <c r="E243" s="15"/>
      <c r="F243" s="15"/>
      <c r="G243" s="14">
        <v>45767</v>
      </c>
    </row>
    <row r="244" spans="1:7" x14ac:dyDescent="0.3">
      <c r="A244" t="str">
        <f t="shared" si="12"/>
        <v>GUATAPÉ</v>
      </c>
      <c r="B244" t="str">
        <f t="shared" si="13"/>
        <v>Hobbit Hotel Ecolodge- Guatapé</v>
      </c>
      <c r="E244" s="15"/>
      <c r="F244" s="15"/>
      <c r="G244" s="14">
        <v>45768</v>
      </c>
    </row>
    <row r="245" spans="1:7" x14ac:dyDescent="0.3">
      <c r="A245" t="str">
        <f t="shared" si="12"/>
        <v>GUATAPÉ</v>
      </c>
      <c r="B245" t="str">
        <f t="shared" si="13"/>
        <v>Hobbit Hotel Ecolodge- Guatapé</v>
      </c>
      <c r="E245" s="15"/>
      <c r="F245" s="15"/>
      <c r="G245" s="14">
        <v>45769</v>
      </c>
    </row>
    <row r="246" spans="1:7" x14ac:dyDescent="0.3">
      <c r="A246" t="str">
        <f t="shared" si="12"/>
        <v>GUATAPÉ</v>
      </c>
      <c r="B246" t="str">
        <f t="shared" si="13"/>
        <v>Hobbit Hotel Ecolodge- Guatapé</v>
      </c>
      <c r="E246" s="15"/>
      <c r="F246" s="15"/>
      <c r="G246" s="14">
        <v>45770</v>
      </c>
    </row>
    <row r="247" spans="1:7" x14ac:dyDescent="0.3">
      <c r="A247" t="str">
        <f t="shared" si="12"/>
        <v>GUATAPÉ</v>
      </c>
      <c r="B247" t="str">
        <f t="shared" si="13"/>
        <v>Hobbit Hotel Ecolodge- Guatapé</v>
      </c>
      <c r="E247" s="15"/>
      <c r="F247" s="15"/>
      <c r="G247" s="14">
        <v>45771</v>
      </c>
    </row>
    <row r="248" spans="1:7" x14ac:dyDescent="0.3">
      <c r="A248" t="str">
        <f t="shared" si="12"/>
        <v>GUATAPÉ</v>
      </c>
      <c r="B248" t="str">
        <f t="shared" si="13"/>
        <v>Hobbit Hotel Ecolodge- Guatapé</v>
      </c>
      <c r="E248" s="15"/>
      <c r="F248" s="15"/>
      <c r="G248" s="14">
        <v>45772</v>
      </c>
    </row>
    <row r="249" spans="1:7" x14ac:dyDescent="0.3">
      <c r="A249" t="str">
        <f t="shared" si="12"/>
        <v>GUATAPÉ</v>
      </c>
      <c r="B249" t="str">
        <f t="shared" si="13"/>
        <v>Hobbit Hotel Ecolodge- Guatapé</v>
      </c>
      <c r="E249" s="15"/>
      <c r="F249" s="15"/>
      <c r="G249" s="14">
        <v>45773</v>
      </c>
    </row>
    <row r="250" spans="1:7" x14ac:dyDescent="0.3">
      <c r="A250" t="str">
        <f t="shared" si="12"/>
        <v>GUATAPÉ</v>
      </c>
      <c r="B250" t="str">
        <f t="shared" si="13"/>
        <v>Hobbit Hotel Ecolodge- Guatapé</v>
      </c>
      <c r="E250" s="15"/>
      <c r="F250" s="15"/>
      <c r="G250" s="14">
        <v>45774</v>
      </c>
    </row>
    <row r="251" spans="1:7" x14ac:dyDescent="0.3">
      <c r="A251" t="str">
        <f t="shared" si="12"/>
        <v>GUATAPÉ</v>
      </c>
      <c r="B251" t="str">
        <f t="shared" si="13"/>
        <v>Hobbit Hotel Ecolodge- Guatapé</v>
      </c>
      <c r="E251" s="15"/>
      <c r="F251" s="15"/>
      <c r="G251" s="14">
        <v>45775</v>
      </c>
    </row>
    <row r="252" spans="1:7" x14ac:dyDescent="0.3">
      <c r="A252" t="str">
        <f t="shared" si="12"/>
        <v>GUATAPÉ</v>
      </c>
      <c r="B252" t="str">
        <f t="shared" si="13"/>
        <v>Hobbit Hotel Ecolodge- Guatapé</v>
      </c>
      <c r="E252" s="15"/>
      <c r="F252" s="15"/>
      <c r="G252" s="14">
        <v>45776</v>
      </c>
    </row>
    <row r="253" spans="1:7" x14ac:dyDescent="0.3">
      <c r="A253" t="str">
        <f t="shared" si="12"/>
        <v>GUATAPÉ</v>
      </c>
      <c r="B253" t="str">
        <f t="shared" si="13"/>
        <v>Hobbit Hotel Ecolodge- Guatapé</v>
      </c>
      <c r="E253" s="15"/>
      <c r="F253" s="15"/>
      <c r="G253" s="14">
        <v>45777</v>
      </c>
    </row>
    <row r="254" spans="1:7" x14ac:dyDescent="0.3">
      <c r="A254" t="s">
        <v>46</v>
      </c>
      <c r="B254" t="s">
        <v>117</v>
      </c>
      <c r="E254" s="15"/>
      <c r="F254" s="15"/>
      <c r="G254" s="14">
        <v>45736</v>
      </c>
    </row>
    <row r="255" spans="1:7" x14ac:dyDescent="0.3">
      <c r="A255" t="str">
        <f t="shared" ref="A255:A295" si="14">+A254</f>
        <v>El peñol, Guatapé</v>
      </c>
      <c r="B255" t="str">
        <f t="shared" ref="B255:B295" si="15">+B254</f>
        <v>Marina Navegar- El peñol, Guatape</v>
      </c>
      <c r="E255" s="15"/>
      <c r="F255" s="15"/>
      <c r="G255" s="14">
        <v>45737</v>
      </c>
    </row>
    <row r="256" spans="1:7" x14ac:dyDescent="0.3">
      <c r="A256" t="str">
        <f t="shared" si="14"/>
        <v>El peñol, Guatapé</v>
      </c>
      <c r="B256" t="str">
        <f t="shared" si="15"/>
        <v>Marina Navegar- El peñol, Guatape</v>
      </c>
      <c r="E256" s="15"/>
      <c r="F256" s="15"/>
      <c r="G256" s="14">
        <v>45738</v>
      </c>
    </row>
    <row r="257" spans="1:7" x14ac:dyDescent="0.3">
      <c r="A257" t="str">
        <f t="shared" si="14"/>
        <v>El peñol, Guatapé</v>
      </c>
      <c r="B257" t="str">
        <f t="shared" si="15"/>
        <v>Marina Navegar- El peñol, Guatape</v>
      </c>
      <c r="E257" s="15"/>
      <c r="F257" s="15"/>
      <c r="G257" s="14">
        <v>45739</v>
      </c>
    </row>
    <row r="258" spans="1:7" x14ac:dyDescent="0.3">
      <c r="A258" t="str">
        <f t="shared" si="14"/>
        <v>El peñol, Guatapé</v>
      </c>
      <c r="B258" t="str">
        <f t="shared" si="15"/>
        <v>Marina Navegar- El peñol, Guatape</v>
      </c>
      <c r="E258" s="15"/>
      <c r="F258" s="15"/>
      <c r="G258" s="14">
        <v>45740</v>
      </c>
    </row>
    <row r="259" spans="1:7" x14ac:dyDescent="0.3">
      <c r="A259" t="str">
        <f t="shared" si="14"/>
        <v>El peñol, Guatapé</v>
      </c>
      <c r="B259" t="str">
        <f t="shared" si="15"/>
        <v>Marina Navegar- El peñol, Guatape</v>
      </c>
      <c r="E259" s="15"/>
      <c r="F259" s="15"/>
      <c r="G259" s="14">
        <v>45741</v>
      </c>
    </row>
    <row r="260" spans="1:7" x14ac:dyDescent="0.3">
      <c r="A260" t="str">
        <f t="shared" si="14"/>
        <v>El peñol, Guatapé</v>
      </c>
      <c r="B260" t="str">
        <f t="shared" si="15"/>
        <v>Marina Navegar- El peñol, Guatape</v>
      </c>
      <c r="E260" s="15"/>
      <c r="F260" s="15"/>
      <c r="G260" s="14">
        <v>45742</v>
      </c>
    </row>
    <row r="261" spans="1:7" x14ac:dyDescent="0.3">
      <c r="A261" t="str">
        <f t="shared" si="14"/>
        <v>El peñol, Guatapé</v>
      </c>
      <c r="B261" t="str">
        <f t="shared" si="15"/>
        <v>Marina Navegar- El peñol, Guatape</v>
      </c>
      <c r="E261" s="15"/>
      <c r="F261" s="15"/>
      <c r="G261" s="14">
        <v>45743</v>
      </c>
    </row>
    <row r="262" spans="1:7" x14ac:dyDescent="0.3">
      <c r="A262" t="str">
        <f t="shared" si="14"/>
        <v>El peñol, Guatapé</v>
      </c>
      <c r="B262" t="str">
        <f t="shared" si="15"/>
        <v>Marina Navegar- El peñol, Guatape</v>
      </c>
      <c r="E262" s="15"/>
      <c r="F262" s="15"/>
      <c r="G262" s="14">
        <v>45744</v>
      </c>
    </row>
    <row r="263" spans="1:7" x14ac:dyDescent="0.3">
      <c r="A263" t="str">
        <f t="shared" si="14"/>
        <v>El peñol, Guatapé</v>
      </c>
      <c r="B263" t="str">
        <f t="shared" si="15"/>
        <v>Marina Navegar- El peñol, Guatape</v>
      </c>
      <c r="E263" s="15"/>
      <c r="F263" s="15"/>
      <c r="G263" s="14">
        <v>45745</v>
      </c>
    </row>
    <row r="264" spans="1:7" x14ac:dyDescent="0.3">
      <c r="A264" t="str">
        <f t="shared" si="14"/>
        <v>El peñol, Guatapé</v>
      </c>
      <c r="B264" t="str">
        <f t="shared" si="15"/>
        <v>Marina Navegar- El peñol, Guatape</v>
      </c>
      <c r="E264" s="15"/>
      <c r="F264" s="15"/>
      <c r="G264" s="14">
        <v>45746</v>
      </c>
    </row>
    <row r="265" spans="1:7" x14ac:dyDescent="0.3">
      <c r="A265" t="str">
        <f t="shared" si="14"/>
        <v>El peñol, Guatapé</v>
      </c>
      <c r="B265" t="str">
        <f t="shared" si="15"/>
        <v>Marina Navegar- El peñol, Guatape</v>
      </c>
      <c r="E265" s="15"/>
      <c r="F265" s="15"/>
      <c r="G265" s="14">
        <v>45747</v>
      </c>
    </row>
    <row r="266" spans="1:7" x14ac:dyDescent="0.3">
      <c r="A266" t="str">
        <f t="shared" si="14"/>
        <v>El peñol, Guatapé</v>
      </c>
      <c r="B266" t="str">
        <f t="shared" si="15"/>
        <v>Marina Navegar- El peñol, Guatape</v>
      </c>
      <c r="E266" s="15"/>
      <c r="F266" s="15"/>
      <c r="G266" s="14">
        <v>45748</v>
      </c>
    </row>
    <row r="267" spans="1:7" x14ac:dyDescent="0.3">
      <c r="A267" t="str">
        <f t="shared" si="14"/>
        <v>El peñol, Guatapé</v>
      </c>
      <c r="B267" t="str">
        <f t="shared" si="15"/>
        <v>Marina Navegar- El peñol, Guatape</v>
      </c>
      <c r="E267" s="15"/>
      <c r="F267" s="15"/>
      <c r="G267" s="14">
        <v>45749</v>
      </c>
    </row>
    <row r="268" spans="1:7" x14ac:dyDescent="0.3">
      <c r="A268" t="str">
        <f t="shared" si="14"/>
        <v>El peñol, Guatapé</v>
      </c>
      <c r="B268" t="str">
        <f t="shared" si="15"/>
        <v>Marina Navegar- El peñol, Guatape</v>
      </c>
      <c r="E268" s="15"/>
      <c r="F268" s="15"/>
      <c r="G268" s="14">
        <v>45750</v>
      </c>
    </row>
    <row r="269" spans="1:7" x14ac:dyDescent="0.3">
      <c r="A269" t="str">
        <f t="shared" si="14"/>
        <v>El peñol, Guatapé</v>
      </c>
      <c r="B269" t="str">
        <f t="shared" si="15"/>
        <v>Marina Navegar- El peñol, Guatape</v>
      </c>
      <c r="E269" s="15"/>
      <c r="F269" s="15"/>
      <c r="G269" s="14">
        <v>45751</v>
      </c>
    </row>
    <row r="270" spans="1:7" x14ac:dyDescent="0.3">
      <c r="A270" t="str">
        <f t="shared" si="14"/>
        <v>El peñol, Guatapé</v>
      </c>
      <c r="B270" t="str">
        <f t="shared" si="15"/>
        <v>Marina Navegar- El peñol, Guatape</v>
      </c>
      <c r="E270" s="15"/>
      <c r="F270" s="15"/>
      <c r="G270" s="14">
        <v>45752</v>
      </c>
    </row>
    <row r="271" spans="1:7" x14ac:dyDescent="0.3">
      <c r="A271" t="str">
        <f t="shared" si="14"/>
        <v>El peñol, Guatapé</v>
      </c>
      <c r="B271" t="str">
        <f t="shared" si="15"/>
        <v>Marina Navegar- El peñol, Guatape</v>
      </c>
      <c r="E271" s="15"/>
      <c r="F271" s="15"/>
      <c r="G271" s="14">
        <v>45753</v>
      </c>
    </row>
    <row r="272" spans="1:7" x14ac:dyDescent="0.3">
      <c r="A272" t="str">
        <f t="shared" si="14"/>
        <v>El peñol, Guatapé</v>
      </c>
      <c r="B272" t="str">
        <f t="shared" si="15"/>
        <v>Marina Navegar- El peñol, Guatape</v>
      </c>
      <c r="E272" s="15"/>
      <c r="F272" s="15"/>
      <c r="G272" s="14">
        <v>45754</v>
      </c>
    </row>
    <row r="273" spans="1:7" x14ac:dyDescent="0.3">
      <c r="A273" t="str">
        <f t="shared" si="14"/>
        <v>El peñol, Guatapé</v>
      </c>
      <c r="B273" t="str">
        <f t="shared" si="15"/>
        <v>Marina Navegar- El peñol, Guatape</v>
      </c>
      <c r="E273" s="15"/>
      <c r="F273" s="15"/>
      <c r="G273" s="14">
        <v>45755</v>
      </c>
    </row>
    <row r="274" spans="1:7" x14ac:dyDescent="0.3">
      <c r="A274" t="str">
        <f t="shared" si="14"/>
        <v>El peñol, Guatapé</v>
      </c>
      <c r="B274" t="str">
        <f t="shared" si="15"/>
        <v>Marina Navegar- El peñol, Guatape</v>
      </c>
      <c r="E274" s="15"/>
      <c r="F274" s="15"/>
      <c r="G274" s="14">
        <v>45756</v>
      </c>
    </row>
    <row r="275" spans="1:7" x14ac:dyDescent="0.3">
      <c r="A275" t="str">
        <f t="shared" si="14"/>
        <v>El peñol, Guatapé</v>
      </c>
      <c r="B275" t="str">
        <f t="shared" si="15"/>
        <v>Marina Navegar- El peñol, Guatape</v>
      </c>
      <c r="E275" s="15"/>
      <c r="F275" s="15"/>
      <c r="G275" s="14">
        <v>45757</v>
      </c>
    </row>
    <row r="276" spans="1:7" x14ac:dyDescent="0.3">
      <c r="A276" t="str">
        <f t="shared" si="14"/>
        <v>El peñol, Guatapé</v>
      </c>
      <c r="B276" t="str">
        <f t="shared" si="15"/>
        <v>Marina Navegar- El peñol, Guatape</v>
      </c>
      <c r="E276" s="15"/>
      <c r="F276" s="15"/>
      <c r="G276" s="14">
        <v>45758</v>
      </c>
    </row>
    <row r="277" spans="1:7" x14ac:dyDescent="0.3">
      <c r="A277" t="str">
        <f t="shared" si="14"/>
        <v>El peñol, Guatapé</v>
      </c>
      <c r="B277" t="str">
        <f t="shared" si="15"/>
        <v>Marina Navegar- El peñol, Guatape</v>
      </c>
      <c r="E277" s="15"/>
      <c r="F277" s="15"/>
      <c r="G277" s="14">
        <v>45759</v>
      </c>
    </row>
    <row r="278" spans="1:7" x14ac:dyDescent="0.3">
      <c r="A278" t="str">
        <f t="shared" si="14"/>
        <v>El peñol, Guatapé</v>
      </c>
      <c r="B278" t="str">
        <f t="shared" si="15"/>
        <v>Marina Navegar- El peñol, Guatape</v>
      </c>
      <c r="E278" s="15"/>
      <c r="F278" s="15"/>
      <c r="G278" s="14">
        <v>45760</v>
      </c>
    </row>
    <row r="279" spans="1:7" x14ac:dyDescent="0.3">
      <c r="A279" t="str">
        <f t="shared" si="14"/>
        <v>El peñol, Guatapé</v>
      </c>
      <c r="B279" t="str">
        <f t="shared" si="15"/>
        <v>Marina Navegar- El peñol, Guatape</v>
      </c>
      <c r="E279" s="15"/>
      <c r="F279" s="15"/>
      <c r="G279" s="14">
        <v>45761</v>
      </c>
    </row>
    <row r="280" spans="1:7" x14ac:dyDescent="0.3">
      <c r="A280" t="str">
        <f t="shared" si="14"/>
        <v>El peñol, Guatapé</v>
      </c>
      <c r="B280" t="str">
        <f t="shared" si="15"/>
        <v>Marina Navegar- El peñol, Guatape</v>
      </c>
      <c r="E280" s="15"/>
      <c r="F280" s="15"/>
      <c r="G280" s="14">
        <v>45762</v>
      </c>
    </row>
    <row r="281" spans="1:7" x14ac:dyDescent="0.3">
      <c r="A281" t="str">
        <f t="shared" si="14"/>
        <v>El peñol, Guatapé</v>
      </c>
      <c r="B281" t="str">
        <f t="shared" si="15"/>
        <v>Marina Navegar- El peñol, Guatape</v>
      </c>
      <c r="E281" s="15"/>
      <c r="F281" s="15"/>
      <c r="G281" s="14">
        <v>45763</v>
      </c>
    </row>
    <row r="282" spans="1:7" x14ac:dyDescent="0.3">
      <c r="A282" t="str">
        <f t="shared" si="14"/>
        <v>El peñol, Guatapé</v>
      </c>
      <c r="B282" t="str">
        <f t="shared" si="15"/>
        <v>Marina Navegar- El peñol, Guatape</v>
      </c>
      <c r="E282" s="15"/>
      <c r="F282" s="15"/>
      <c r="G282" s="14">
        <v>45764</v>
      </c>
    </row>
    <row r="283" spans="1:7" x14ac:dyDescent="0.3">
      <c r="A283" t="str">
        <f t="shared" si="14"/>
        <v>El peñol, Guatapé</v>
      </c>
      <c r="B283" t="str">
        <f t="shared" si="15"/>
        <v>Marina Navegar- El peñol, Guatape</v>
      </c>
      <c r="E283" s="15"/>
      <c r="F283" s="15"/>
      <c r="G283" s="14">
        <v>45765</v>
      </c>
    </row>
    <row r="284" spans="1:7" x14ac:dyDescent="0.3">
      <c r="A284" t="str">
        <f t="shared" si="14"/>
        <v>El peñol, Guatapé</v>
      </c>
      <c r="B284" t="str">
        <f t="shared" si="15"/>
        <v>Marina Navegar- El peñol, Guatape</v>
      </c>
      <c r="E284" s="15"/>
      <c r="F284" s="15"/>
      <c r="G284" s="14">
        <v>45766</v>
      </c>
    </row>
    <row r="285" spans="1:7" x14ac:dyDescent="0.3">
      <c r="A285" t="str">
        <f t="shared" si="14"/>
        <v>El peñol, Guatapé</v>
      </c>
      <c r="B285" t="str">
        <f t="shared" si="15"/>
        <v>Marina Navegar- El peñol, Guatape</v>
      </c>
      <c r="E285" s="15"/>
      <c r="F285" s="15"/>
      <c r="G285" s="14">
        <v>45767</v>
      </c>
    </row>
    <row r="286" spans="1:7" x14ac:dyDescent="0.3">
      <c r="A286" t="str">
        <f t="shared" si="14"/>
        <v>El peñol, Guatapé</v>
      </c>
      <c r="B286" t="str">
        <f t="shared" si="15"/>
        <v>Marina Navegar- El peñol, Guatape</v>
      </c>
      <c r="E286" s="15"/>
      <c r="F286" s="15"/>
      <c r="G286" s="14">
        <v>45768</v>
      </c>
    </row>
    <row r="287" spans="1:7" x14ac:dyDescent="0.3">
      <c r="A287" t="str">
        <f t="shared" si="14"/>
        <v>El peñol, Guatapé</v>
      </c>
      <c r="B287" t="str">
        <f t="shared" si="15"/>
        <v>Marina Navegar- El peñol, Guatape</v>
      </c>
      <c r="E287" s="15"/>
      <c r="F287" s="15"/>
      <c r="G287" s="14">
        <v>45769</v>
      </c>
    </row>
    <row r="288" spans="1:7" x14ac:dyDescent="0.3">
      <c r="A288" t="str">
        <f t="shared" si="14"/>
        <v>El peñol, Guatapé</v>
      </c>
      <c r="B288" t="str">
        <f t="shared" si="15"/>
        <v>Marina Navegar- El peñol, Guatape</v>
      </c>
      <c r="E288" s="15"/>
      <c r="F288" s="15"/>
      <c r="G288" s="14">
        <v>45770</v>
      </c>
    </row>
    <row r="289" spans="1:7" x14ac:dyDescent="0.3">
      <c r="A289" t="str">
        <f t="shared" si="14"/>
        <v>El peñol, Guatapé</v>
      </c>
      <c r="B289" t="str">
        <f t="shared" si="15"/>
        <v>Marina Navegar- El peñol, Guatape</v>
      </c>
      <c r="E289" s="15"/>
      <c r="F289" s="15"/>
      <c r="G289" s="14">
        <v>45771</v>
      </c>
    </row>
    <row r="290" spans="1:7" x14ac:dyDescent="0.3">
      <c r="A290" t="str">
        <f t="shared" si="14"/>
        <v>El peñol, Guatapé</v>
      </c>
      <c r="B290" t="str">
        <f t="shared" si="15"/>
        <v>Marina Navegar- El peñol, Guatape</v>
      </c>
      <c r="E290" s="15"/>
      <c r="F290" s="15"/>
      <c r="G290" s="14">
        <v>45772</v>
      </c>
    </row>
    <row r="291" spans="1:7" x14ac:dyDescent="0.3">
      <c r="A291" t="str">
        <f t="shared" si="14"/>
        <v>El peñol, Guatapé</v>
      </c>
      <c r="B291" t="str">
        <f t="shared" si="15"/>
        <v>Marina Navegar- El peñol, Guatape</v>
      </c>
      <c r="E291" s="15"/>
      <c r="F291" s="15"/>
      <c r="G291" s="14">
        <v>45773</v>
      </c>
    </row>
    <row r="292" spans="1:7" x14ac:dyDescent="0.3">
      <c r="A292" t="str">
        <f t="shared" si="14"/>
        <v>El peñol, Guatapé</v>
      </c>
      <c r="B292" t="str">
        <f t="shared" si="15"/>
        <v>Marina Navegar- El peñol, Guatape</v>
      </c>
      <c r="E292" s="15"/>
      <c r="F292" s="15"/>
      <c r="G292" s="14">
        <v>45774</v>
      </c>
    </row>
    <row r="293" spans="1:7" x14ac:dyDescent="0.3">
      <c r="A293" t="str">
        <f t="shared" si="14"/>
        <v>El peñol, Guatapé</v>
      </c>
      <c r="B293" t="str">
        <f t="shared" si="15"/>
        <v>Marina Navegar- El peñol, Guatape</v>
      </c>
      <c r="E293" s="15"/>
      <c r="F293" s="15"/>
      <c r="G293" s="14">
        <v>45775</v>
      </c>
    </row>
    <row r="294" spans="1:7" x14ac:dyDescent="0.3">
      <c r="A294" t="str">
        <f t="shared" si="14"/>
        <v>El peñol, Guatapé</v>
      </c>
      <c r="B294" t="str">
        <f t="shared" si="15"/>
        <v>Marina Navegar- El peñol, Guatape</v>
      </c>
      <c r="E294" s="15"/>
      <c r="F294" s="15"/>
      <c r="G294" s="14">
        <v>45776</v>
      </c>
    </row>
    <row r="295" spans="1:7" x14ac:dyDescent="0.3">
      <c r="A295" t="str">
        <f t="shared" si="14"/>
        <v>El peñol, Guatapé</v>
      </c>
      <c r="B295" t="str">
        <f t="shared" si="15"/>
        <v>Marina Navegar- El peñol, Guatape</v>
      </c>
      <c r="E295" s="15"/>
      <c r="F295" s="15"/>
      <c r="G295" s="14">
        <v>45777</v>
      </c>
    </row>
    <row r="296" spans="1:7" x14ac:dyDescent="0.3">
      <c r="A296" t="s">
        <v>8</v>
      </c>
      <c r="B296" t="s">
        <v>58</v>
      </c>
      <c r="E296" s="15"/>
      <c r="F296" s="15"/>
      <c r="G296" s="14">
        <v>45736</v>
      </c>
    </row>
    <row r="297" spans="1:7" x14ac:dyDescent="0.3">
      <c r="A297" t="str">
        <f t="shared" ref="A297:A337" si="16">+A296</f>
        <v>EL PEÑOL, GUATAPÉ</v>
      </c>
      <c r="B297" t="str">
        <f t="shared" ref="B297:B337" si="17">+B296</f>
        <v>Hotel Omaga El peñol- Guatape</v>
      </c>
      <c r="E297" s="15"/>
      <c r="F297" s="15"/>
      <c r="G297" s="14">
        <v>45737</v>
      </c>
    </row>
    <row r="298" spans="1:7" x14ac:dyDescent="0.3">
      <c r="A298" t="str">
        <f t="shared" si="16"/>
        <v>EL PEÑOL, GUATAPÉ</v>
      </c>
      <c r="B298" t="str">
        <f t="shared" si="17"/>
        <v>Hotel Omaga El peñol- Guatape</v>
      </c>
      <c r="E298" s="15"/>
      <c r="F298" s="15"/>
      <c r="G298" s="14">
        <v>45738</v>
      </c>
    </row>
    <row r="299" spans="1:7" x14ac:dyDescent="0.3">
      <c r="A299" t="str">
        <f t="shared" si="16"/>
        <v>EL PEÑOL, GUATAPÉ</v>
      </c>
      <c r="B299" t="str">
        <f t="shared" si="17"/>
        <v>Hotel Omaga El peñol- Guatape</v>
      </c>
      <c r="E299" s="15"/>
      <c r="F299" s="15"/>
      <c r="G299" s="14">
        <v>45739</v>
      </c>
    </row>
    <row r="300" spans="1:7" x14ac:dyDescent="0.3">
      <c r="A300" t="str">
        <f t="shared" si="16"/>
        <v>EL PEÑOL, GUATAPÉ</v>
      </c>
      <c r="B300" t="str">
        <f t="shared" si="17"/>
        <v>Hotel Omaga El peñol- Guatape</v>
      </c>
      <c r="E300" s="15"/>
      <c r="F300" s="15"/>
      <c r="G300" s="14">
        <v>45740</v>
      </c>
    </row>
    <row r="301" spans="1:7" x14ac:dyDescent="0.3">
      <c r="A301" t="str">
        <f t="shared" si="16"/>
        <v>EL PEÑOL, GUATAPÉ</v>
      </c>
      <c r="B301" t="str">
        <f t="shared" si="17"/>
        <v>Hotel Omaga El peñol- Guatape</v>
      </c>
      <c r="E301" s="15"/>
      <c r="F301" s="15"/>
      <c r="G301" s="14">
        <v>45741</v>
      </c>
    </row>
    <row r="302" spans="1:7" x14ac:dyDescent="0.3">
      <c r="A302" t="str">
        <f t="shared" si="16"/>
        <v>EL PEÑOL, GUATAPÉ</v>
      </c>
      <c r="B302" t="str">
        <f t="shared" si="17"/>
        <v>Hotel Omaga El peñol- Guatape</v>
      </c>
      <c r="E302" s="15"/>
      <c r="F302" s="15"/>
      <c r="G302" s="14">
        <v>45742</v>
      </c>
    </row>
    <row r="303" spans="1:7" x14ac:dyDescent="0.3">
      <c r="A303" t="str">
        <f t="shared" si="16"/>
        <v>EL PEÑOL, GUATAPÉ</v>
      </c>
      <c r="B303" t="str">
        <f t="shared" si="17"/>
        <v>Hotel Omaga El peñol- Guatape</v>
      </c>
      <c r="E303" s="15"/>
      <c r="F303" s="15"/>
      <c r="G303" s="14">
        <v>45743</v>
      </c>
    </row>
    <row r="304" spans="1:7" x14ac:dyDescent="0.3">
      <c r="A304" t="str">
        <f t="shared" si="16"/>
        <v>EL PEÑOL, GUATAPÉ</v>
      </c>
      <c r="B304" t="str">
        <f t="shared" si="17"/>
        <v>Hotel Omaga El peñol- Guatape</v>
      </c>
      <c r="E304" s="15"/>
      <c r="F304" s="15"/>
      <c r="G304" s="14">
        <v>45744</v>
      </c>
    </row>
    <row r="305" spans="1:7" x14ac:dyDescent="0.3">
      <c r="A305" t="str">
        <f t="shared" si="16"/>
        <v>EL PEÑOL, GUATAPÉ</v>
      </c>
      <c r="B305" t="str">
        <f t="shared" si="17"/>
        <v>Hotel Omaga El peñol- Guatape</v>
      </c>
      <c r="E305" s="15"/>
      <c r="F305" s="15"/>
      <c r="G305" s="14">
        <v>45745</v>
      </c>
    </row>
    <row r="306" spans="1:7" x14ac:dyDescent="0.3">
      <c r="A306" t="str">
        <f t="shared" si="16"/>
        <v>EL PEÑOL, GUATAPÉ</v>
      </c>
      <c r="B306" t="str">
        <f t="shared" si="17"/>
        <v>Hotel Omaga El peñol- Guatape</v>
      </c>
      <c r="E306" s="15"/>
      <c r="F306" s="15"/>
      <c r="G306" s="14">
        <v>45746</v>
      </c>
    </row>
    <row r="307" spans="1:7" x14ac:dyDescent="0.3">
      <c r="A307" t="str">
        <f t="shared" si="16"/>
        <v>EL PEÑOL, GUATAPÉ</v>
      </c>
      <c r="B307" t="str">
        <f t="shared" si="17"/>
        <v>Hotel Omaga El peñol- Guatape</v>
      </c>
      <c r="E307" s="15"/>
      <c r="F307" s="15"/>
      <c r="G307" s="14">
        <v>45747</v>
      </c>
    </row>
    <row r="308" spans="1:7" x14ac:dyDescent="0.3">
      <c r="A308" t="str">
        <f t="shared" si="16"/>
        <v>EL PEÑOL, GUATAPÉ</v>
      </c>
      <c r="B308" t="str">
        <f t="shared" si="17"/>
        <v>Hotel Omaga El peñol- Guatape</v>
      </c>
      <c r="E308" s="15"/>
      <c r="F308" s="15"/>
      <c r="G308" s="14">
        <v>45748</v>
      </c>
    </row>
    <row r="309" spans="1:7" x14ac:dyDescent="0.3">
      <c r="A309" t="str">
        <f t="shared" si="16"/>
        <v>EL PEÑOL, GUATAPÉ</v>
      </c>
      <c r="B309" t="str">
        <f t="shared" si="17"/>
        <v>Hotel Omaga El peñol- Guatape</v>
      </c>
      <c r="E309" s="15"/>
      <c r="F309" s="15"/>
      <c r="G309" s="14">
        <v>45749</v>
      </c>
    </row>
    <row r="310" spans="1:7" x14ac:dyDescent="0.3">
      <c r="A310" t="str">
        <f t="shared" si="16"/>
        <v>EL PEÑOL, GUATAPÉ</v>
      </c>
      <c r="B310" t="str">
        <f t="shared" si="17"/>
        <v>Hotel Omaga El peñol- Guatape</v>
      </c>
      <c r="E310" s="15"/>
      <c r="F310" s="15"/>
      <c r="G310" s="14">
        <v>45750</v>
      </c>
    </row>
    <row r="311" spans="1:7" x14ac:dyDescent="0.3">
      <c r="A311" t="str">
        <f t="shared" si="16"/>
        <v>EL PEÑOL, GUATAPÉ</v>
      </c>
      <c r="B311" t="str">
        <f t="shared" si="17"/>
        <v>Hotel Omaga El peñol- Guatape</v>
      </c>
      <c r="E311" s="15"/>
      <c r="F311" s="15"/>
      <c r="G311" s="14">
        <v>45751</v>
      </c>
    </row>
    <row r="312" spans="1:7" x14ac:dyDescent="0.3">
      <c r="A312" t="str">
        <f t="shared" si="16"/>
        <v>EL PEÑOL, GUATAPÉ</v>
      </c>
      <c r="B312" t="str">
        <f t="shared" si="17"/>
        <v>Hotel Omaga El peñol- Guatape</v>
      </c>
      <c r="E312" s="15"/>
      <c r="F312" s="15"/>
      <c r="G312" s="14">
        <v>45752</v>
      </c>
    </row>
    <row r="313" spans="1:7" x14ac:dyDescent="0.3">
      <c r="A313" t="str">
        <f t="shared" si="16"/>
        <v>EL PEÑOL, GUATAPÉ</v>
      </c>
      <c r="B313" t="str">
        <f t="shared" si="17"/>
        <v>Hotel Omaga El peñol- Guatape</v>
      </c>
      <c r="E313" s="15"/>
      <c r="F313" s="15"/>
      <c r="G313" s="14">
        <v>45753</v>
      </c>
    </row>
    <row r="314" spans="1:7" x14ac:dyDescent="0.3">
      <c r="A314" t="str">
        <f t="shared" si="16"/>
        <v>EL PEÑOL, GUATAPÉ</v>
      </c>
      <c r="B314" t="str">
        <f t="shared" si="17"/>
        <v>Hotel Omaga El peñol- Guatape</v>
      </c>
      <c r="E314" s="15"/>
      <c r="F314" s="15"/>
      <c r="G314" s="14">
        <v>45754</v>
      </c>
    </row>
    <row r="315" spans="1:7" x14ac:dyDescent="0.3">
      <c r="A315" t="str">
        <f t="shared" si="16"/>
        <v>EL PEÑOL, GUATAPÉ</v>
      </c>
      <c r="B315" t="str">
        <f t="shared" si="17"/>
        <v>Hotel Omaga El peñol- Guatape</v>
      </c>
      <c r="E315" s="15"/>
      <c r="F315" s="15"/>
      <c r="G315" s="14">
        <v>45755</v>
      </c>
    </row>
    <row r="316" spans="1:7" x14ac:dyDescent="0.3">
      <c r="A316" t="str">
        <f t="shared" si="16"/>
        <v>EL PEÑOL, GUATAPÉ</v>
      </c>
      <c r="B316" t="str">
        <f t="shared" si="17"/>
        <v>Hotel Omaga El peñol- Guatape</v>
      </c>
      <c r="E316" s="15"/>
      <c r="F316" s="15"/>
      <c r="G316" s="14">
        <v>45756</v>
      </c>
    </row>
    <row r="317" spans="1:7" x14ac:dyDescent="0.3">
      <c r="A317" t="str">
        <f t="shared" si="16"/>
        <v>EL PEÑOL, GUATAPÉ</v>
      </c>
      <c r="B317" t="str">
        <f t="shared" si="17"/>
        <v>Hotel Omaga El peñol- Guatape</v>
      </c>
      <c r="E317" s="15"/>
      <c r="F317" s="15"/>
      <c r="G317" s="14">
        <v>45757</v>
      </c>
    </row>
    <row r="318" spans="1:7" x14ac:dyDescent="0.3">
      <c r="A318" t="str">
        <f t="shared" si="16"/>
        <v>EL PEÑOL, GUATAPÉ</v>
      </c>
      <c r="B318" t="str">
        <f t="shared" si="17"/>
        <v>Hotel Omaga El peñol- Guatape</v>
      </c>
      <c r="E318" s="15"/>
      <c r="F318" s="15"/>
      <c r="G318" s="14">
        <v>45758</v>
      </c>
    </row>
    <row r="319" spans="1:7" x14ac:dyDescent="0.3">
      <c r="A319" t="str">
        <f t="shared" si="16"/>
        <v>EL PEÑOL, GUATAPÉ</v>
      </c>
      <c r="B319" t="str">
        <f t="shared" si="17"/>
        <v>Hotel Omaga El peñol- Guatape</v>
      </c>
      <c r="E319" s="15"/>
      <c r="F319" s="15"/>
      <c r="G319" s="14">
        <v>45759</v>
      </c>
    </row>
    <row r="320" spans="1:7" x14ac:dyDescent="0.3">
      <c r="A320" t="str">
        <f t="shared" si="16"/>
        <v>EL PEÑOL, GUATAPÉ</v>
      </c>
      <c r="B320" t="str">
        <f t="shared" si="17"/>
        <v>Hotel Omaga El peñol- Guatape</v>
      </c>
      <c r="E320" s="15"/>
      <c r="F320" s="15"/>
      <c r="G320" s="14">
        <v>45760</v>
      </c>
    </row>
    <row r="321" spans="1:7" x14ac:dyDescent="0.3">
      <c r="A321" t="str">
        <f t="shared" si="16"/>
        <v>EL PEÑOL, GUATAPÉ</v>
      </c>
      <c r="B321" t="str">
        <f t="shared" si="17"/>
        <v>Hotel Omaga El peñol- Guatape</v>
      </c>
      <c r="E321" s="15"/>
      <c r="F321" s="15"/>
      <c r="G321" s="14">
        <v>45761</v>
      </c>
    </row>
    <row r="322" spans="1:7" x14ac:dyDescent="0.3">
      <c r="A322" t="str">
        <f t="shared" si="16"/>
        <v>EL PEÑOL, GUATAPÉ</v>
      </c>
      <c r="B322" t="str">
        <f t="shared" si="17"/>
        <v>Hotel Omaga El peñol- Guatape</v>
      </c>
      <c r="E322" s="15"/>
      <c r="F322" s="15"/>
      <c r="G322" s="14">
        <v>45762</v>
      </c>
    </row>
    <row r="323" spans="1:7" x14ac:dyDescent="0.3">
      <c r="A323" t="str">
        <f t="shared" si="16"/>
        <v>EL PEÑOL, GUATAPÉ</v>
      </c>
      <c r="B323" t="str">
        <f t="shared" si="17"/>
        <v>Hotel Omaga El peñol- Guatape</v>
      </c>
      <c r="E323" s="15"/>
      <c r="F323" s="15"/>
      <c r="G323" s="14">
        <v>45763</v>
      </c>
    </row>
    <row r="324" spans="1:7" x14ac:dyDescent="0.3">
      <c r="A324" t="str">
        <f t="shared" si="16"/>
        <v>EL PEÑOL, GUATAPÉ</v>
      </c>
      <c r="B324" t="str">
        <f t="shared" si="17"/>
        <v>Hotel Omaga El peñol- Guatape</v>
      </c>
      <c r="E324" s="15"/>
      <c r="F324" s="15"/>
      <c r="G324" s="14">
        <v>45764</v>
      </c>
    </row>
    <row r="325" spans="1:7" x14ac:dyDescent="0.3">
      <c r="A325" t="str">
        <f t="shared" si="16"/>
        <v>EL PEÑOL, GUATAPÉ</v>
      </c>
      <c r="B325" t="str">
        <f t="shared" si="17"/>
        <v>Hotel Omaga El peñol- Guatape</v>
      </c>
      <c r="E325" s="15"/>
      <c r="F325" s="15"/>
      <c r="G325" s="14">
        <v>45765</v>
      </c>
    </row>
    <row r="326" spans="1:7" x14ac:dyDescent="0.3">
      <c r="A326" t="str">
        <f t="shared" si="16"/>
        <v>EL PEÑOL, GUATAPÉ</v>
      </c>
      <c r="B326" t="str">
        <f t="shared" si="17"/>
        <v>Hotel Omaga El peñol- Guatape</v>
      </c>
      <c r="E326" s="15"/>
      <c r="F326" s="15"/>
      <c r="G326" s="14">
        <v>45766</v>
      </c>
    </row>
    <row r="327" spans="1:7" x14ac:dyDescent="0.3">
      <c r="A327" t="str">
        <f t="shared" si="16"/>
        <v>EL PEÑOL, GUATAPÉ</v>
      </c>
      <c r="B327" t="str">
        <f t="shared" si="17"/>
        <v>Hotel Omaga El peñol- Guatape</v>
      </c>
      <c r="E327" s="15"/>
      <c r="F327" s="15"/>
      <c r="G327" s="14">
        <v>45767</v>
      </c>
    </row>
    <row r="328" spans="1:7" x14ac:dyDescent="0.3">
      <c r="A328" t="str">
        <f t="shared" si="16"/>
        <v>EL PEÑOL, GUATAPÉ</v>
      </c>
      <c r="B328" t="str">
        <f t="shared" si="17"/>
        <v>Hotel Omaga El peñol- Guatape</v>
      </c>
      <c r="E328" s="15"/>
      <c r="F328" s="15"/>
      <c r="G328" s="14">
        <v>45768</v>
      </c>
    </row>
    <row r="329" spans="1:7" x14ac:dyDescent="0.3">
      <c r="A329" t="str">
        <f t="shared" si="16"/>
        <v>EL PEÑOL, GUATAPÉ</v>
      </c>
      <c r="B329" t="str">
        <f t="shared" si="17"/>
        <v>Hotel Omaga El peñol- Guatape</v>
      </c>
      <c r="E329" s="15"/>
      <c r="F329" s="15"/>
      <c r="G329" s="14">
        <v>45769</v>
      </c>
    </row>
    <row r="330" spans="1:7" x14ac:dyDescent="0.3">
      <c r="A330" t="str">
        <f t="shared" si="16"/>
        <v>EL PEÑOL, GUATAPÉ</v>
      </c>
      <c r="B330" t="str">
        <f t="shared" si="17"/>
        <v>Hotel Omaga El peñol- Guatape</v>
      </c>
      <c r="E330" s="15"/>
      <c r="F330" s="15"/>
      <c r="G330" s="14">
        <v>45770</v>
      </c>
    </row>
    <row r="331" spans="1:7" x14ac:dyDescent="0.3">
      <c r="A331" t="str">
        <f t="shared" si="16"/>
        <v>EL PEÑOL, GUATAPÉ</v>
      </c>
      <c r="B331" t="str">
        <f t="shared" si="17"/>
        <v>Hotel Omaga El peñol- Guatape</v>
      </c>
      <c r="E331" s="15"/>
      <c r="F331" s="15"/>
      <c r="G331" s="14">
        <v>45771</v>
      </c>
    </row>
    <row r="332" spans="1:7" x14ac:dyDescent="0.3">
      <c r="A332" t="str">
        <f t="shared" si="16"/>
        <v>EL PEÑOL, GUATAPÉ</v>
      </c>
      <c r="B332" t="str">
        <f t="shared" si="17"/>
        <v>Hotel Omaga El peñol- Guatape</v>
      </c>
      <c r="E332" s="15"/>
      <c r="F332" s="15"/>
      <c r="G332" s="14">
        <v>45772</v>
      </c>
    </row>
    <row r="333" spans="1:7" x14ac:dyDescent="0.3">
      <c r="A333" t="str">
        <f t="shared" si="16"/>
        <v>EL PEÑOL, GUATAPÉ</v>
      </c>
      <c r="B333" t="str">
        <f t="shared" si="17"/>
        <v>Hotel Omaga El peñol- Guatape</v>
      </c>
      <c r="E333" s="15"/>
      <c r="F333" s="15"/>
      <c r="G333" s="14">
        <v>45773</v>
      </c>
    </row>
    <row r="334" spans="1:7" x14ac:dyDescent="0.3">
      <c r="A334" t="str">
        <f t="shared" si="16"/>
        <v>EL PEÑOL, GUATAPÉ</v>
      </c>
      <c r="B334" t="str">
        <f t="shared" si="17"/>
        <v>Hotel Omaga El peñol- Guatape</v>
      </c>
      <c r="E334" s="15"/>
      <c r="F334" s="15"/>
      <c r="G334" s="14">
        <v>45774</v>
      </c>
    </row>
    <row r="335" spans="1:7" x14ac:dyDescent="0.3">
      <c r="A335" t="str">
        <f t="shared" si="16"/>
        <v>EL PEÑOL, GUATAPÉ</v>
      </c>
      <c r="B335" t="str">
        <f t="shared" si="17"/>
        <v>Hotel Omaga El peñol- Guatape</v>
      </c>
      <c r="E335" s="15"/>
      <c r="F335" s="15"/>
      <c r="G335" s="14">
        <v>45775</v>
      </c>
    </row>
    <row r="336" spans="1:7" x14ac:dyDescent="0.3">
      <c r="A336" t="str">
        <f t="shared" si="16"/>
        <v>EL PEÑOL, GUATAPÉ</v>
      </c>
      <c r="B336" t="str">
        <f t="shared" si="17"/>
        <v>Hotel Omaga El peñol- Guatape</v>
      </c>
      <c r="E336" s="15"/>
      <c r="F336" s="15"/>
      <c r="G336" s="14">
        <v>45776</v>
      </c>
    </row>
    <row r="337" spans="1:7" x14ac:dyDescent="0.3">
      <c r="A337" t="str">
        <f t="shared" si="16"/>
        <v>EL PEÑOL, GUATAPÉ</v>
      </c>
      <c r="B337" t="str">
        <f t="shared" si="17"/>
        <v>Hotel Omaga El peñol- Guatape</v>
      </c>
      <c r="E337" s="15"/>
      <c r="F337" s="15"/>
      <c r="G337" s="14">
        <v>45777</v>
      </c>
    </row>
    <row r="338" spans="1:7" x14ac:dyDescent="0.3">
      <c r="A338" t="s">
        <v>7</v>
      </c>
      <c r="B338" t="s">
        <v>59</v>
      </c>
      <c r="E338" s="15"/>
      <c r="F338" s="15"/>
      <c r="G338" s="14">
        <v>45736</v>
      </c>
    </row>
    <row r="339" spans="1:7" x14ac:dyDescent="0.3">
      <c r="A339" t="str">
        <f t="shared" ref="A339:A379" si="18">+A338</f>
        <v>GUATAPÉ</v>
      </c>
      <c r="B339" t="str">
        <f t="shared" ref="B339:B379" si="19">+B338</f>
        <v>Hotel Stay Guatape a dos cuadras del parque</v>
      </c>
      <c r="E339" s="15"/>
      <c r="F339" s="15"/>
      <c r="G339" s="14">
        <v>45737</v>
      </c>
    </row>
    <row r="340" spans="1:7" x14ac:dyDescent="0.3">
      <c r="A340" t="str">
        <f t="shared" si="18"/>
        <v>GUATAPÉ</v>
      </c>
      <c r="B340" t="str">
        <f t="shared" si="19"/>
        <v>Hotel Stay Guatape a dos cuadras del parque</v>
      </c>
      <c r="E340" s="15"/>
      <c r="F340" s="15"/>
      <c r="G340" s="14">
        <v>45738</v>
      </c>
    </row>
    <row r="341" spans="1:7" x14ac:dyDescent="0.3">
      <c r="A341" t="str">
        <f t="shared" si="18"/>
        <v>GUATAPÉ</v>
      </c>
      <c r="B341" t="str">
        <f t="shared" si="19"/>
        <v>Hotel Stay Guatape a dos cuadras del parque</v>
      </c>
      <c r="E341" s="15"/>
      <c r="F341" s="15"/>
      <c r="G341" s="14">
        <v>45739</v>
      </c>
    </row>
    <row r="342" spans="1:7" x14ac:dyDescent="0.3">
      <c r="A342" t="str">
        <f t="shared" si="18"/>
        <v>GUATAPÉ</v>
      </c>
      <c r="B342" t="str">
        <f t="shared" si="19"/>
        <v>Hotel Stay Guatape a dos cuadras del parque</v>
      </c>
      <c r="E342" s="15"/>
      <c r="F342" s="15"/>
      <c r="G342" s="14">
        <v>45740</v>
      </c>
    </row>
    <row r="343" spans="1:7" x14ac:dyDescent="0.3">
      <c r="A343" t="str">
        <f t="shared" si="18"/>
        <v>GUATAPÉ</v>
      </c>
      <c r="B343" t="str">
        <f t="shared" si="19"/>
        <v>Hotel Stay Guatape a dos cuadras del parque</v>
      </c>
      <c r="E343" s="15"/>
      <c r="F343" s="15"/>
      <c r="G343" s="14">
        <v>45741</v>
      </c>
    </row>
    <row r="344" spans="1:7" x14ac:dyDescent="0.3">
      <c r="A344" t="str">
        <f t="shared" si="18"/>
        <v>GUATAPÉ</v>
      </c>
      <c r="B344" t="str">
        <f t="shared" si="19"/>
        <v>Hotel Stay Guatape a dos cuadras del parque</v>
      </c>
      <c r="E344" s="15"/>
      <c r="F344" s="15"/>
      <c r="G344" s="14">
        <v>45742</v>
      </c>
    </row>
    <row r="345" spans="1:7" x14ac:dyDescent="0.3">
      <c r="A345" t="str">
        <f t="shared" si="18"/>
        <v>GUATAPÉ</v>
      </c>
      <c r="B345" t="str">
        <f t="shared" si="19"/>
        <v>Hotel Stay Guatape a dos cuadras del parque</v>
      </c>
      <c r="E345" s="15"/>
      <c r="F345" s="15"/>
      <c r="G345" s="14">
        <v>45743</v>
      </c>
    </row>
    <row r="346" spans="1:7" x14ac:dyDescent="0.3">
      <c r="A346" t="str">
        <f t="shared" si="18"/>
        <v>GUATAPÉ</v>
      </c>
      <c r="B346" t="str">
        <f t="shared" si="19"/>
        <v>Hotel Stay Guatape a dos cuadras del parque</v>
      </c>
      <c r="E346" s="15"/>
      <c r="F346" s="15"/>
      <c r="G346" s="14">
        <v>45744</v>
      </c>
    </row>
    <row r="347" spans="1:7" x14ac:dyDescent="0.3">
      <c r="A347" t="str">
        <f t="shared" si="18"/>
        <v>GUATAPÉ</v>
      </c>
      <c r="B347" t="str">
        <f t="shared" si="19"/>
        <v>Hotel Stay Guatape a dos cuadras del parque</v>
      </c>
      <c r="E347" s="15"/>
      <c r="F347" s="15"/>
      <c r="G347" s="14">
        <v>45745</v>
      </c>
    </row>
    <row r="348" spans="1:7" x14ac:dyDescent="0.3">
      <c r="A348" t="str">
        <f t="shared" si="18"/>
        <v>GUATAPÉ</v>
      </c>
      <c r="B348" t="str">
        <f t="shared" si="19"/>
        <v>Hotel Stay Guatape a dos cuadras del parque</v>
      </c>
      <c r="E348" s="15"/>
      <c r="F348" s="15"/>
      <c r="G348" s="14">
        <v>45746</v>
      </c>
    </row>
    <row r="349" spans="1:7" x14ac:dyDescent="0.3">
      <c r="A349" t="str">
        <f t="shared" si="18"/>
        <v>GUATAPÉ</v>
      </c>
      <c r="B349" t="str">
        <f t="shared" si="19"/>
        <v>Hotel Stay Guatape a dos cuadras del parque</v>
      </c>
      <c r="E349" s="15"/>
      <c r="F349" s="15"/>
      <c r="G349" s="14">
        <v>45747</v>
      </c>
    </row>
    <row r="350" spans="1:7" x14ac:dyDescent="0.3">
      <c r="A350" t="str">
        <f t="shared" si="18"/>
        <v>GUATAPÉ</v>
      </c>
      <c r="B350" t="str">
        <f t="shared" si="19"/>
        <v>Hotel Stay Guatape a dos cuadras del parque</v>
      </c>
      <c r="E350" s="15"/>
      <c r="F350" s="15"/>
      <c r="G350" s="14">
        <v>45748</v>
      </c>
    </row>
    <row r="351" spans="1:7" x14ac:dyDescent="0.3">
      <c r="A351" t="str">
        <f t="shared" si="18"/>
        <v>GUATAPÉ</v>
      </c>
      <c r="B351" t="str">
        <f t="shared" si="19"/>
        <v>Hotel Stay Guatape a dos cuadras del parque</v>
      </c>
      <c r="E351" s="15"/>
      <c r="F351" s="15"/>
      <c r="G351" s="14">
        <v>45749</v>
      </c>
    </row>
    <row r="352" spans="1:7" x14ac:dyDescent="0.3">
      <c r="A352" t="str">
        <f t="shared" si="18"/>
        <v>GUATAPÉ</v>
      </c>
      <c r="B352" t="str">
        <f t="shared" si="19"/>
        <v>Hotel Stay Guatape a dos cuadras del parque</v>
      </c>
      <c r="E352" s="15"/>
      <c r="F352" s="15"/>
      <c r="G352" s="14">
        <v>45750</v>
      </c>
    </row>
    <row r="353" spans="1:7" x14ac:dyDescent="0.3">
      <c r="A353" t="str">
        <f t="shared" si="18"/>
        <v>GUATAPÉ</v>
      </c>
      <c r="B353" t="str">
        <f t="shared" si="19"/>
        <v>Hotel Stay Guatape a dos cuadras del parque</v>
      </c>
      <c r="E353" s="15"/>
      <c r="F353" s="15"/>
      <c r="G353" s="14">
        <v>45751</v>
      </c>
    </row>
    <row r="354" spans="1:7" x14ac:dyDescent="0.3">
      <c r="A354" t="str">
        <f t="shared" si="18"/>
        <v>GUATAPÉ</v>
      </c>
      <c r="B354" t="str">
        <f t="shared" si="19"/>
        <v>Hotel Stay Guatape a dos cuadras del parque</v>
      </c>
      <c r="E354" s="15"/>
      <c r="F354" s="15"/>
      <c r="G354" s="14">
        <v>45752</v>
      </c>
    </row>
    <row r="355" spans="1:7" x14ac:dyDescent="0.3">
      <c r="A355" t="str">
        <f t="shared" si="18"/>
        <v>GUATAPÉ</v>
      </c>
      <c r="B355" t="str">
        <f t="shared" si="19"/>
        <v>Hotel Stay Guatape a dos cuadras del parque</v>
      </c>
      <c r="E355" s="15"/>
      <c r="F355" s="15"/>
      <c r="G355" s="14">
        <v>45753</v>
      </c>
    </row>
    <row r="356" spans="1:7" x14ac:dyDescent="0.3">
      <c r="A356" t="str">
        <f t="shared" si="18"/>
        <v>GUATAPÉ</v>
      </c>
      <c r="B356" t="str">
        <f t="shared" si="19"/>
        <v>Hotel Stay Guatape a dos cuadras del parque</v>
      </c>
      <c r="E356" s="15"/>
      <c r="F356" s="15"/>
      <c r="G356" s="14">
        <v>45754</v>
      </c>
    </row>
    <row r="357" spans="1:7" x14ac:dyDescent="0.3">
      <c r="A357" t="str">
        <f t="shared" si="18"/>
        <v>GUATAPÉ</v>
      </c>
      <c r="B357" t="str">
        <f t="shared" si="19"/>
        <v>Hotel Stay Guatape a dos cuadras del parque</v>
      </c>
      <c r="E357" s="15"/>
      <c r="F357" s="15"/>
      <c r="G357" s="14">
        <v>45755</v>
      </c>
    </row>
    <row r="358" spans="1:7" x14ac:dyDescent="0.3">
      <c r="A358" t="str">
        <f t="shared" si="18"/>
        <v>GUATAPÉ</v>
      </c>
      <c r="B358" t="str">
        <f t="shared" si="19"/>
        <v>Hotel Stay Guatape a dos cuadras del parque</v>
      </c>
      <c r="E358" s="15"/>
      <c r="F358" s="15"/>
      <c r="G358" s="14">
        <v>45756</v>
      </c>
    </row>
    <row r="359" spans="1:7" x14ac:dyDescent="0.3">
      <c r="A359" t="str">
        <f t="shared" si="18"/>
        <v>GUATAPÉ</v>
      </c>
      <c r="B359" t="str">
        <f t="shared" si="19"/>
        <v>Hotel Stay Guatape a dos cuadras del parque</v>
      </c>
      <c r="E359" s="15"/>
      <c r="F359" s="15"/>
      <c r="G359" s="14">
        <v>45757</v>
      </c>
    </row>
    <row r="360" spans="1:7" x14ac:dyDescent="0.3">
      <c r="A360" t="str">
        <f t="shared" si="18"/>
        <v>GUATAPÉ</v>
      </c>
      <c r="B360" t="str">
        <f t="shared" si="19"/>
        <v>Hotel Stay Guatape a dos cuadras del parque</v>
      </c>
      <c r="E360" s="15"/>
      <c r="F360" s="15"/>
      <c r="G360" s="14">
        <v>45758</v>
      </c>
    </row>
    <row r="361" spans="1:7" x14ac:dyDescent="0.3">
      <c r="A361" t="str">
        <f t="shared" si="18"/>
        <v>GUATAPÉ</v>
      </c>
      <c r="B361" t="str">
        <f t="shared" si="19"/>
        <v>Hotel Stay Guatape a dos cuadras del parque</v>
      </c>
      <c r="E361" s="15"/>
      <c r="F361" s="15"/>
      <c r="G361" s="14">
        <v>45759</v>
      </c>
    </row>
    <row r="362" spans="1:7" x14ac:dyDescent="0.3">
      <c r="A362" t="str">
        <f t="shared" si="18"/>
        <v>GUATAPÉ</v>
      </c>
      <c r="B362" t="str">
        <f t="shared" si="19"/>
        <v>Hotel Stay Guatape a dos cuadras del parque</v>
      </c>
      <c r="E362" s="15"/>
      <c r="F362" s="15"/>
      <c r="G362" s="14">
        <v>45760</v>
      </c>
    </row>
    <row r="363" spans="1:7" x14ac:dyDescent="0.3">
      <c r="A363" t="str">
        <f t="shared" si="18"/>
        <v>GUATAPÉ</v>
      </c>
      <c r="B363" t="str">
        <f t="shared" si="19"/>
        <v>Hotel Stay Guatape a dos cuadras del parque</v>
      </c>
      <c r="E363" s="15"/>
      <c r="F363" s="15"/>
      <c r="G363" s="14">
        <v>45761</v>
      </c>
    </row>
    <row r="364" spans="1:7" x14ac:dyDescent="0.3">
      <c r="A364" t="str">
        <f t="shared" si="18"/>
        <v>GUATAPÉ</v>
      </c>
      <c r="B364" t="str">
        <f t="shared" si="19"/>
        <v>Hotel Stay Guatape a dos cuadras del parque</v>
      </c>
      <c r="E364" s="15"/>
      <c r="F364" s="15"/>
      <c r="G364" s="14">
        <v>45762</v>
      </c>
    </row>
    <row r="365" spans="1:7" x14ac:dyDescent="0.3">
      <c r="A365" t="str">
        <f t="shared" si="18"/>
        <v>GUATAPÉ</v>
      </c>
      <c r="B365" t="str">
        <f t="shared" si="19"/>
        <v>Hotel Stay Guatape a dos cuadras del parque</v>
      </c>
      <c r="E365" s="15"/>
      <c r="F365" s="15"/>
      <c r="G365" s="14">
        <v>45763</v>
      </c>
    </row>
    <row r="366" spans="1:7" x14ac:dyDescent="0.3">
      <c r="A366" t="str">
        <f t="shared" si="18"/>
        <v>GUATAPÉ</v>
      </c>
      <c r="B366" t="str">
        <f t="shared" si="19"/>
        <v>Hotel Stay Guatape a dos cuadras del parque</v>
      </c>
      <c r="E366" s="15"/>
      <c r="F366" s="15"/>
      <c r="G366" s="14">
        <v>45764</v>
      </c>
    </row>
    <row r="367" spans="1:7" x14ac:dyDescent="0.3">
      <c r="A367" t="str">
        <f t="shared" si="18"/>
        <v>GUATAPÉ</v>
      </c>
      <c r="B367" t="str">
        <f t="shared" si="19"/>
        <v>Hotel Stay Guatape a dos cuadras del parque</v>
      </c>
      <c r="E367" s="15"/>
      <c r="F367" s="15"/>
      <c r="G367" s="14">
        <v>45765</v>
      </c>
    </row>
    <row r="368" spans="1:7" x14ac:dyDescent="0.3">
      <c r="A368" t="str">
        <f t="shared" si="18"/>
        <v>GUATAPÉ</v>
      </c>
      <c r="B368" t="str">
        <f t="shared" si="19"/>
        <v>Hotel Stay Guatape a dos cuadras del parque</v>
      </c>
      <c r="E368" s="15"/>
      <c r="F368" s="15"/>
      <c r="G368" s="14">
        <v>45766</v>
      </c>
    </row>
    <row r="369" spans="1:7" x14ac:dyDescent="0.3">
      <c r="A369" t="str">
        <f t="shared" si="18"/>
        <v>GUATAPÉ</v>
      </c>
      <c r="B369" t="str">
        <f t="shared" si="19"/>
        <v>Hotel Stay Guatape a dos cuadras del parque</v>
      </c>
      <c r="E369" s="15"/>
      <c r="F369" s="15"/>
      <c r="G369" s="14">
        <v>45767</v>
      </c>
    </row>
    <row r="370" spans="1:7" x14ac:dyDescent="0.3">
      <c r="A370" t="str">
        <f t="shared" si="18"/>
        <v>GUATAPÉ</v>
      </c>
      <c r="B370" t="str">
        <f t="shared" si="19"/>
        <v>Hotel Stay Guatape a dos cuadras del parque</v>
      </c>
      <c r="E370" s="15"/>
      <c r="F370" s="15"/>
      <c r="G370" s="14">
        <v>45768</v>
      </c>
    </row>
    <row r="371" spans="1:7" x14ac:dyDescent="0.3">
      <c r="A371" t="str">
        <f t="shared" si="18"/>
        <v>GUATAPÉ</v>
      </c>
      <c r="B371" t="str">
        <f t="shared" si="19"/>
        <v>Hotel Stay Guatape a dos cuadras del parque</v>
      </c>
      <c r="E371" s="15"/>
      <c r="F371" s="15"/>
      <c r="G371" s="14">
        <v>45769</v>
      </c>
    </row>
    <row r="372" spans="1:7" x14ac:dyDescent="0.3">
      <c r="A372" t="str">
        <f t="shared" si="18"/>
        <v>GUATAPÉ</v>
      </c>
      <c r="B372" t="str">
        <f t="shared" si="19"/>
        <v>Hotel Stay Guatape a dos cuadras del parque</v>
      </c>
      <c r="E372" s="15"/>
      <c r="F372" s="15"/>
      <c r="G372" s="14">
        <v>45770</v>
      </c>
    </row>
    <row r="373" spans="1:7" x14ac:dyDescent="0.3">
      <c r="A373" t="str">
        <f t="shared" si="18"/>
        <v>GUATAPÉ</v>
      </c>
      <c r="B373" t="str">
        <f t="shared" si="19"/>
        <v>Hotel Stay Guatape a dos cuadras del parque</v>
      </c>
      <c r="E373" s="15"/>
      <c r="F373" s="15"/>
      <c r="G373" s="14">
        <v>45771</v>
      </c>
    </row>
    <row r="374" spans="1:7" x14ac:dyDescent="0.3">
      <c r="A374" t="str">
        <f t="shared" si="18"/>
        <v>GUATAPÉ</v>
      </c>
      <c r="B374" t="str">
        <f t="shared" si="19"/>
        <v>Hotel Stay Guatape a dos cuadras del parque</v>
      </c>
      <c r="E374" s="15"/>
      <c r="F374" s="15"/>
      <c r="G374" s="14">
        <v>45772</v>
      </c>
    </row>
    <row r="375" spans="1:7" x14ac:dyDescent="0.3">
      <c r="A375" t="str">
        <f t="shared" si="18"/>
        <v>GUATAPÉ</v>
      </c>
      <c r="B375" t="str">
        <f t="shared" si="19"/>
        <v>Hotel Stay Guatape a dos cuadras del parque</v>
      </c>
      <c r="E375" s="15"/>
      <c r="F375" s="15"/>
      <c r="G375" s="14">
        <v>45773</v>
      </c>
    </row>
    <row r="376" spans="1:7" x14ac:dyDescent="0.3">
      <c r="A376" t="str">
        <f t="shared" si="18"/>
        <v>GUATAPÉ</v>
      </c>
      <c r="B376" t="str">
        <f t="shared" si="19"/>
        <v>Hotel Stay Guatape a dos cuadras del parque</v>
      </c>
      <c r="E376" s="15"/>
      <c r="F376" s="15"/>
      <c r="G376" s="14">
        <v>45774</v>
      </c>
    </row>
    <row r="377" spans="1:7" x14ac:dyDescent="0.3">
      <c r="A377" t="str">
        <f t="shared" si="18"/>
        <v>GUATAPÉ</v>
      </c>
      <c r="B377" t="str">
        <f t="shared" si="19"/>
        <v>Hotel Stay Guatape a dos cuadras del parque</v>
      </c>
      <c r="E377" s="15"/>
      <c r="F377" s="15"/>
      <c r="G377" s="14">
        <v>45775</v>
      </c>
    </row>
    <row r="378" spans="1:7" x14ac:dyDescent="0.3">
      <c r="A378" t="str">
        <f t="shared" si="18"/>
        <v>GUATAPÉ</v>
      </c>
      <c r="B378" t="str">
        <f t="shared" si="19"/>
        <v>Hotel Stay Guatape a dos cuadras del parque</v>
      </c>
      <c r="E378" s="15"/>
      <c r="F378" s="15"/>
      <c r="G378" s="14">
        <v>45776</v>
      </c>
    </row>
    <row r="379" spans="1:7" x14ac:dyDescent="0.3">
      <c r="A379" t="str">
        <f t="shared" si="18"/>
        <v>GUATAPÉ</v>
      </c>
      <c r="B379" t="str">
        <f t="shared" si="19"/>
        <v>Hotel Stay Guatape a dos cuadras del parque</v>
      </c>
      <c r="E379" s="15"/>
      <c r="F379" s="15"/>
      <c r="G379" s="14">
        <v>45777</v>
      </c>
    </row>
    <row r="380" spans="1:7" x14ac:dyDescent="0.3">
      <c r="A380" t="s">
        <v>8</v>
      </c>
      <c r="B380" t="s">
        <v>62</v>
      </c>
      <c r="E380" s="15"/>
      <c r="F380" s="15"/>
      <c r="G380" s="14">
        <v>45736</v>
      </c>
    </row>
    <row r="381" spans="1:7" x14ac:dyDescent="0.3">
      <c r="A381" t="str">
        <f t="shared" ref="A381:A421" si="20">+A380</f>
        <v>EL PEÑOL, GUATAPÉ</v>
      </c>
      <c r="B381" t="str">
        <f t="shared" ref="B381:B421" si="21">+B380</f>
        <v>San Simon Glamping,El peñol,Guatape</v>
      </c>
      <c r="E381" s="15"/>
      <c r="F381" s="15"/>
      <c r="G381" s="14">
        <v>45737</v>
      </c>
    </row>
    <row r="382" spans="1:7" x14ac:dyDescent="0.3">
      <c r="A382" t="str">
        <f t="shared" si="20"/>
        <v>EL PEÑOL, GUATAPÉ</v>
      </c>
      <c r="B382" t="str">
        <f t="shared" si="21"/>
        <v>San Simon Glamping,El peñol,Guatape</v>
      </c>
      <c r="E382" s="15"/>
      <c r="F382" s="15"/>
      <c r="G382" s="14">
        <v>45738</v>
      </c>
    </row>
    <row r="383" spans="1:7" x14ac:dyDescent="0.3">
      <c r="A383" t="str">
        <f t="shared" si="20"/>
        <v>EL PEÑOL, GUATAPÉ</v>
      </c>
      <c r="B383" t="str">
        <f t="shared" si="21"/>
        <v>San Simon Glamping,El peñol,Guatape</v>
      </c>
      <c r="E383" s="15"/>
      <c r="F383" s="15"/>
      <c r="G383" s="14">
        <v>45739</v>
      </c>
    </row>
    <row r="384" spans="1:7" x14ac:dyDescent="0.3">
      <c r="A384" t="str">
        <f t="shared" si="20"/>
        <v>EL PEÑOL, GUATAPÉ</v>
      </c>
      <c r="B384" t="str">
        <f t="shared" si="21"/>
        <v>San Simon Glamping,El peñol,Guatape</v>
      </c>
      <c r="E384" s="15"/>
      <c r="F384" s="15"/>
      <c r="G384" s="14">
        <v>45740</v>
      </c>
    </row>
    <row r="385" spans="1:7" x14ac:dyDescent="0.3">
      <c r="A385" t="str">
        <f t="shared" si="20"/>
        <v>EL PEÑOL, GUATAPÉ</v>
      </c>
      <c r="B385" t="str">
        <f t="shared" si="21"/>
        <v>San Simon Glamping,El peñol,Guatape</v>
      </c>
      <c r="E385" s="15"/>
      <c r="F385" s="15"/>
      <c r="G385" s="14">
        <v>45741</v>
      </c>
    </row>
    <row r="386" spans="1:7" x14ac:dyDescent="0.3">
      <c r="A386" t="str">
        <f t="shared" si="20"/>
        <v>EL PEÑOL, GUATAPÉ</v>
      </c>
      <c r="B386" t="str">
        <f t="shared" si="21"/>
        <v>San Simon Glamping,El peñol,Guatape</v>
      </c>
      <c r="E386" s="15"/>
      <c r="F386" s="15"/>
      <c r="G386" s="14">
        <v>45742</v>
      </c>
    </row>
    <row r="387" spans="1:7" x14ac:dyDescent="0.3">
      <c r="A387" t="str">
        <f t="shared" si="20"/>
        <v>EL PEÑOL, GUATAPÉ</v>
      </c>
      <c r="B387" t="str">
        <f t="shared" si="21"/>
        <v>San Simon Glamping,El peñol,Guatape</v>
      </c>
      <c r="E387" s="15"/>
      <c r="F387" s="15"/>
      <c r="G387" s="14">
        <v>45743</v>
      </c>
    </row>
    <row r="388" spans="1:7" x14ac:dyDescent="0.3">
      <c r="A388" t="str">
        <f t="shared" si="20"/>
        <v>EL PEÑOL, GUATAPÉ</v>
      </c>
      <c r="B388" t="str">
        <f t="shared" si="21"/>
        <v>San Simon Glamping,El peñol,Guatape</v>
      </c>
      <c r="E388" s="15"/>
      <c r="F388" s="15"/>
      <c r="G388" s="14">
        <v>45744</v>
      </c>
    </row>
    <row r="389" spans="1:7" x14ac:dyDescent="0.3">
      <c r="A389" t="str">
        <f t="shared" si="20"/>
        <v>EL PEÑOL, GUATAPÉ</v>
      </c>
      <c r="B389" t="str">
        <f t="shared" si="21"/>
        <v>San Simon Glamping,El peñol,Guatape</v>
      </c>
      <c r="E389" s="15"/>
      <c r="F389" s="15"/>
      <c r="G389" s="14">
        <v>45745</v>
      </c>
    </row>
    <row r="390" spans="1:7" x14ac:dyDescent="0.3">
      <c r="A390" t="str">
        <f t="shared" si="20"/>
        <v>EL PEÑOL, GUATAPÉ</v>
      </c>
      <c r="B390" t="str">
        <f t="shared" si="21"/>
        <v>San Simon Glamping,El peñol,Guatape</v>
      </c>
      <c r="E390" s="15"/>
      <c r="F390" s="15"/>
      <c r="G390" s="14">
        <v>45746</v>
      </c>
    </row>
    <row r="391" spans="1:7" x14ac:dyDescent="0.3">
      <c r="A391" t="str">
        <f t="shared" si="20"/>
        <v>EL PEÑOL, GUATAPÉ</v>
      </c>
      <c r="B391" t="str">
        <f t="shared" si="21"/>
        <v>San Simon Glamping,El peñol,Guatape</v>
      </c>
      <c r="E391" s="15"/>
      <c r="F391" s="15"/>
      <c r="G391" s="14">
        <v>45747</v>
      </c>
    </row>
    <row r="392" spans="1:7" x14ac:dyDescent="0.3">
      <c r="A392" t="str">
        <f t="shared" si="20"/>
        <v>EL PEÑOL, GUATAPÉ</v>
      </c>
      <c r="B392" t="str">
        <f t="shared" si="21"/>
        <v>San Simon Glamping,El peñol,Guatape</v>
      </c>
      <c r="E392" s="15"/>
      <c r="F392" s="15"/>
      <c r="G392" s="14">
        <v>45748</v>
      </c>
    </row>
    <row r="393" spans="1:7" x14ac:dyDescent="0.3">
      <c r="A393" t="str">
        <f t="shared" si="20"/>
        <v>EL PEÑOL, GUATAPÉ</v>
      </c>
      <c r="B393" t="str">
        <f t="shared" si="21"/>
        <v>San Simon Glamping,El peñol,Guatape</v>
      </c>
      <c r="E393" s="15"/>
      <c r="F393" s="15"/>
      <c r="G393" s="14">
        <v>45749</v>
      </c>
    </row>
    <row r="394" spans="1:7" x14ac:dyDescent="0.3">
      <c r="A394" t="str">
        <f t="shared" si="20"/>
        <v>EL PEÑOL, GUATAPÉ</v>
      </c>
      <c r="B394" t="str">
        <f t="shared" si="21"/>
        <v>San Simon Glamping,El peñol,Guatape</v>
      </c>
      <c r="E394" s="15"/>
      <c r="F394" s="15"/>
      <c r="G394" s="14">
        <v>45750</v>
      </c>
    </row>
    <row r="395" spans="1:7" x14ac:dyDescent="0.3">
      <c r="A395" t="str">
        <f t="shared" si="20"/>
        <v>EL PEÑOL, GUATAPÉ</v>
      </c>
      <c r="B395" t="str">
        <f t="shared" si="21"/>
        <v>San Simon Glamping,El peñol,Guatape</v>
      </c>
      <c r="E395" s="15"/>
      <c r="F395" s="15"/>
      <c r="G395" s="14">
        <v>45751</v>
      </c>
    </row>
    <row r="396" spans="1:7" x14ac:dyDescent="0.3">
      <c r="A396" t="str">
        <f t="shared" si="20"/>
        <v>EL PEÑOL, GUATAPÉ</v>
      </c>
      <c r="B396" t="str">
        <f t="shared" si="21"/>
        <v>San Simon Glamping,El peñol,Guatape</v>
      </c>
      <c r="E396" s="15"/>
      <c r="F396" s="15"/>
      <c r="G396" s="14">
        <v>45752</v>
      </c>
    </row>
    <row r="397" spans="1:7" x14ac:dyDescent="0.3">
      <c r="A397" t="str">
        <f t="shared" si="20"/>
        <v>EL PEÑOL, GUATAPÉ</v>
      </c>
      <c r="B397" t="str">
        <f t="shared" si="21"/>
        <v>San Simon Glamping,El peñol,Guatape</v>
      </c>
      <c r="E397" s="15"/>
      <c r="F397" s="15"/>
      <c r="G397" s="14">
        <v>45753</v>
      </c>
    </row>
    <row r="398" spans="1:7" x14ac:dyDescent="0.3">
      <c r="A398" t="str">
        <f t="shared" si="20"/>
        <v>EL PEÑOL, GUATAPÉ</v>
      </c>
      <c r="B398" t="str">
        <f t="shared" si="21"/>
        <v>San Simon Glamping,El peñol,Guatape</v>
      </c>
      <c r="E398" s="15"/>
      <c r="F398" s="15"/>
      <c r="G398" s="14">
        <v>45754</v>
      </c>
    </row>
    <row r="399" spans="1:7" x14ac:dyDescent="0.3">
      <c r="A399" t="str">
        <f t="shared" si="20"/>
        <v>EL PEÑOL, GUATAPÉ</v>
      </c>
      <c r="B399" t="str">
        <f t="shared" si="21"/>
        <v>San Simon Glamping,El peñol,Guatape</v>
      </c>
      <c r="E399" s="15"/>
      <c r="F399" s="15"/>
      <c r="G399" s="14">
        <v>45755</v>
      </c>
    </row>
    <row r="400" spans="1:7" x14ac:dyDescent="0.3">
      <c r="A400" t="str">
        <f t="shared" si="20"/>
        <v>EL PEÑOL, GUATAPÉ</v>
      </c>
      <c r="B400" t="str">
        <f t="shared" si="21"/>
        <v>San Simon Glamping,El peñol,Guatape</v>
      </c>
      <c r="E400" s="15"/>
      <c r="F400" s="15"/>
      <c r="G400" s="14">
        <v>45756</v>
      </c>
    </row>
    <row r="401" spans="1:7" x14ac:dyDescent="0.3">
      <c r="A401" t="str">
        <f t="shared" si="20"/>
        <v>EL PEÑOL, GUATAPÉ</v>
      </c>
      <c r="B401" t="str">
        <f t="shared" si="21"/>
        <v>San Simon Glamping,El peñol,Guatape</v>
      </c>
      <c r="E401" s="15"/>
      <c r="F401" s="15"/>
      <c r="G401" s="14">
        <v>45757</v>
      </c>
    </row>
    <row r="402" spans="1:7" x14ac:dyDescent="0.3">
      <c r="A402" t="str">
        <f t="shared" si="20"/>
        <v>EL PEÑOL, GUATAPÉ</v>
      </c>
      <c r="B402" t="str">
        <f t="shared" si="21"/>
        <v>San Simon Glamping,El peñol,Guatape</v>
      </c>
      <c r="E402" s="15"/>
      <c r="F402" s="15"/>
      <c r="G402" s="14">
        <v>45758</v>
      </c>
    </row>
    <row r="403" spans="1:7" x14ac:dyDescent="0.3">
      <c r="A403" t="str">
        <f t="shared" si="20"/>
        <v>EL PEÑOL, GUATAPÉ</v>
      </c>
      <c r="B403" t="str">
        <f t="shared" si="21"/>
        <v>San Simon Glamping,El peñol,Guatape</v>
      </c>
      <c r="E403" s="15"/>
      <c r="F403" s="15"/>
      <c r="G403" s="14">
        <v>45759</v>
      </c>
    </row>
    <row r="404" spans="1:7" x14ac:dyDescent="0.3">
      <c r="A404" t="str">
        <f t="shared" si="20"/>
        <v>EL PEÑOL, GUATAPÉ</v>
      </c>
      <c r="B404" t="str">
        <f t="shared" si="21"/>
        <v>San Simon Glamping,El peñol,Guatape</v>
      </c>
      <c r="E404" s="15"/>
      <c r="F404" s="15"/>
      <c r="G404" s="14">
        <v>45760</v>
      </c>
    </row>
    <row r="405" spans="1:7" x14ac:dyDescent="0.3">
      <c r="A405" t="str">
        <f t="shared" si="20"/>
        <v>EL PEÑOL, GUATAPÉ</v>
      </c>
      <c r="B405" t="str">
        <f t="shared" si="21"/>
        <v>San Simon Glamping,El peñol,Guatape</v>
      </c>
      <c r="E405" s="15"/>
      <c r="F405" s="15"/>
      <c r="G405" s="14">
        <v>45761</v>
      </c>
    </row>
    <row r="406" spans="1:7" x14ac:dyDescent="0.3">
      <c r="A406" t="str">
        <f t="shared" si="20"/>
        <v>EL PEÑOL, GUATAPÉ</v>
      </c>
      <c r="B406" t="str">
        <f t="shared" si="21"/>
        <v>San Simon Glamping,El peñol,Guatape</v>
      </c>
      <c r="E406" s="15"/>
      <c r="F406" s="15"/>
      <c r="G406" s="14">
        <v>45762</v>
      </c>
    </row>
    <row r="407" spans="1:7" x14ac:dyDescent="0.3">
      <c r="A407" t="str">
        <f t="shared" si="20"/>
        <v>EL PEÑOL, GUATAPÉ</v>
      </c>
      <c r="B407" t="str">
        <f t="shared" si="21"/>
        <v>San Simon Glamping,El peñol,Guatape</v>
      </c>
      <c r="E407" s="15"/>
      <c r="F407" s="15"/>
      <c r="G407" s="14">
        <v>45763</v>
      </c>
    </row>
    <row r="408" spans="1:7" x14ac:dyDescent="0.3">
      <c r="A408" t="str">
        <f t="shared" si="20"/>
        <v>EL PEÑOL, GUATAPÉ</v>
      </c>
      <c r="B408" t="str">
        <f t="shared" si="21"/>
        <v>San Simon Glamping,El peñol,Guatape</v>
      </c>
      <c r="E408" s="15"/>
      <c r="F408" s="15"/>
      <c r="G408" s="14">
        <v>45764</v>
      </c>
    </row>
    <row r="409" spans="1:7" x14ac:dyDescent="0.3">
      <c r="A409" t="str">
        <f t="shared" si="20"/>
        <v>EL PEÑOL, GUATAPÉ</v>
      </c>
      <c r="B409" t="str">
        <f t="shared" si="21"/>
        <v>San Simon Glamping,El peñol,Guatape</v>
      </c>
      <c r="E409" s="15"/>
      <c r="F409" s="15"/>
      <c r="G409" s="14">
        <v>45765</v>
      </c>
    </row>
    <row r="410" spans="1:7" x14ac:dyDescent="0.3">
      <c r="A410" t="str">
        <f t="shared" si="20"/>
        <v>EL PEÑOL, GUATAPÉ</v>
      </c>
      <c r="B410" t="str">
        <f t="shared" si="21"/>
        <v>San Simon Glamping,El peñol,Guatape</v>
      </c>
      <c r="E410" s="15"/>
      <c r="F410" s="15"/>
      <c r="G410" s="14">
        <v>45766</v>
      </c>
    </row>
    <row r="411" spans="1:7" x14ac:dyDescent="0.3">
      <c r="A411" t="str">
        <f t="shared" si="20"/>
        <v>EL PEÑOL, GUATAPÉ</v>
      </c>
      <c r="B411" t="str">
        <f t="shared" si="21"/>
        <v>San Simon Glamping,El peñol,Guatape</v>
      </c>
      <c r="E411" s="15"/>
      <c r="F411" s="15"/>
      <c r="G411" s="14">
        <v>45767</v>
      </c>
    </row>
    <row r="412" spans="1:7" x14ac:dyDescent="0.3">
      <c r="A412" t="str">
        <f t="shared" si="20"/>
        <v>EL PEÑOL, GUATAPÉ</v>
      </c>
      <c r="B412" t="str">
        <f t="shared" si="21"/>
        <v>San Simon Glamping,El peñol,Guatape</v>
      </c>
      <c r="E412" s="15"/>
      <c r="F412" s="15"/>
      <c r="G412" s="14">
        <v>45768</v>
      </c>
    </row>
    <row r="413" spans="1:7" x14ac:dyDescent="0.3">
      <c r="A413" t="str">
        <f t="shared" si="20"/>
        <v>EL PEÑOL, GUATAPÉ</v>
      </c>
      <c r="B413" t="str">
        <f t="shared" si="21"/>
        <v>San Simon Glamping,El peñol,Guatape</v>
      </c>
      <c r="E413" s="15"/>
      <c r="F413" s="15"/>
      <c r="G413" s="14">
        <v>45769</v>
      </c>
    </row>
    <row r="414" spans="1:7" x14ac:dyDescent="0.3">
      <c r="A414" t="str">
        <f t="shared" si="20"/>
        <v>EL PEÑOL, GUATAPÉ</v>
      </c>
      <c r="B414" t="str">
        <f t="shared" si="21"/>
        <v>San Simon Glamping,El peñol,Guatape</v>
      </c>
      <c r="E414" s="15"/>
      <c r="F414" s="15"/>
      <c r="G414" s="14">
        <v>45770</v>
      </c>
    </row>
    <row r="415" spans="1:7" x14ac:dyDescent="0.3">
      <c r="A415" t="str">
        <f t="shared" si="20"/>
        <v>EL PEÑOL, GUATAPÉ</v>
      </c>
      <c r="B415" t="str">
        <f t="shared" si="21"/>
        <v>San Simon Glamping,El peñol,Guatape</v>
      </c>
      <c r="E415" s="15"/>
      <c r="F415" s="15"/>
      <c r="G415" s="14">
        <v>45771</v>
      </c>
    </row>
    <row r="416" spans="1:7" x14ac:dyDescent="0.3">
      <c r="A416" t="str">
        <f t="shared" si="20"/>
        <v>EL PEÑOL, GUATAPÉ</v>
      </c>
      <c r="B416" t="str">
        <f t="shared" si="21"/>
        <v>San Simon Glamping,El peñol,Guatape</v>
      </c>
      <c r="E416" s="15"/>
      <c r="F416" s="15"/>
      <c r="G416" s="14">
        <v>45772</v>
      </c>
    </row>
    <row r="417" spans="1:7" x14ac:dyDescent="0.3">
      <c r="A417" t="str">
        <f t="shared" si="20"/>
        <v>EL PEÑOL, GUATAPÉ</v>
      </c>
      <c r="B417" t="str">
        <f t="shared" si="21"/>
        <v>San Simon Glamping,El peñol,Guatape</v>
      </c>
      <c r="E417" s="15"/>
      <c r="F417" s="15"/>
      <c r="G417" s="14">
        <v>45773</v>
      </c>
    </row>
    <row r="418" spans="1:7" x14ac:dyDescent="0.3">
      <c r="A418" t="str">
        <f t="shared" si="20"/>
        <v>EL PEÑOL, GUATAPÉ</v>
      </c>
      <c r="B418" t="str">
        <f t="shared" si="21"/>
        <v>San Simon Glamping,El peñol,Guatape</v>
      </c>
      <c r="E418" s="15"/>
      <c r="F418" s="15"/>
      <c r="G418" s="14">
        <v>45774</v>
      </c>
    </row>
    <row r="419" spans="1:7" x14ac:dyDescent="0.3">
      <c r="A419" t="str">
        <f t="shared" si="20"/>
        <v>EL PEÑOL, GUATAPÉ</v>
      </c>
      <c r="B419" t="str">
        <f t="shared" si="21"/>
        <v>San Simon Glamping,El peñol,Guatape</v>
      </c>
      <c r="E419" s="15"/>
      <c r="F419" s="15"/>
      <c r="G419" s="14">
        <v>45775</v>
      </c>
    </row>
    <row r="420" spans="1:7" x14ac:dyDescent="0.3">
      <c r="A420" t="str">
        <f t="shared" si="20"/>
        <v>EL PEÑOL, GUATAPÉ</v>
      </c>
      <c r="B420" t="str">
        <f t="shared" si="21"/>
        <v>San Simon Glamping,El peñol,Guatape</v>
      </c>
      <c r="E420" s="15"/>
      <c r="F420" s="15"/>
      <c r="G420" s="14">
        <v>45776</v>
      </c>
    </row>
    <row r="421" spans="1:7" x14ac:dyDescent="0.3">
      <c r="A421" t="str">
        <f t="shared" si="20"/>
        <v>EL PEÑOL, GUATAPÉ</v>
      </c>
      <c r="B421" t="str">
        <f t="shared" si="21"/>
        <v>San Simon Glamping,El peñol,Guatape</v>
      </c>
      <c r="E421" s="15"/>
      <c r="F421" s="15"/>
      <c r="G421" s="14">
        <v>45777</v>
      </c>
    </row>
    <row r="422" spans="1:7" x14ac:dyDescent="0.3">
      <c r="A422" t="s">
        <v>8</v>
      </c>
      <c r="B422" t="s">
        <v>55</v>
      </c>
      <c r="E422" s="15"/>
      <c r="F422" s="15"/>
      <c r="G422" s="14">
        <v>45736</v>
      </c>
    </row>
    <row r="423" spans="1:7" x14ac:dyDescent="0.3">
      <c r="A423" t="str">
        <f t="shared" ref="A423:A463" si="22">+A422</f>
        <v>EL PEÑOL, GUATAPÉ</v>
      </c>
      <c r="B423" t="str">
        <f t="shared" ref="B423:B463" si="23">+B422</f>
        <v>Glamping con jacuzzi y cocina- El Peñol a 30 minutos de Guatapé</v>
      </c>
      <c r="E423" s="15"/>
      <c r="F423" s="15"/>
      <c r="G423" s="14">
        <v>45737</v>
      </c>
    </row>
    <row r="424" spans="1:7" x14ac:dyDescent="0.3">
      <c r="A424" t="str">
        <f t="shared" si="22"/>
        <v>EL PEÑOL, GUATAPÉ</v>
      </c>
      <c r="B424" t="str">
        <f t="shared" si="23"/>
        <v>Glamping con jacuzzi y cocina- El Peñol a 30 minutos de Guatapé</v>
      </c>
      <c r="E424" s="15"/>
      <c r="F424" s="15"/>
      <c r="G424" s="14">
        <v>45738</v>
      </c>
    </row>
    <row r="425" spans="1:7" x14ac:dyDescent="0.3">
      <c r="A425" t="str">
        <f t="shared" si="22"/>
        <v>EL PEÑOL, GUATAPÉ</v>
      </c>
      <c r="B425" t="str">
        <f t="shared" si="23"/>
        <v>Glamping con jacuzzi y cocina- El Peñol a 30 minutos de Guatapé</v>
      </c>
      <c r="E425" s="15"/>
      <c r="F425" s="15"/>
      <c r="G425" s="14">
        <v>45739</v>
      </c>
    </row>
    <row r="426" spans="1:7" x14ac:dyDescent="0.3">
      <c r="A426" t="str">
        <f t="shared" si="22"/>
        <v>EL PEÑOL, GUATAPÉ</v>
      </c>
      <c r="B426" t="str">
        <f t="shared" si="23"/>
        <v>Glamping con jacuzzi y cocina- El Peñol a 30 minutos de Guatapé</v>
      </c>
      <c r="E426" s="15"/>
      <c r="F426" s="15"/>
      <c r="G426" s="14">
        <v>45740</v>
      </c>
    </row>
    <row r="427" spans="1:7" x14ac:dyDescent="0.3">
      <c r="A427" t="str">
        <f t="shared" si="22"/>
        <v>EL PEÑOL, GUATAPÉ</v>
      </c>
      <c r="B427" t="str">
        <f t="shared" si="23"/>
        <v>Glamping con jacuzzi y cocina- El Peñol a 30 minutos de Guatapé</v>
      </c>
      <c r="E427" s="15"/>
      <c r="F427" s="15"/>
      <c r="G427" s="14">
        <v>45741</v>
      </c>
    </row>
    <row r="428" spans="1:7" x14ac:dyDescent="0.3">
      <c r="A428" t="str">
        <f t="shared" si="22"/>
        <v>EL PEÑOL, GUATAPÉ</v>
      </c>
      <c r="B428" t="str">
        <f t="shared" si="23"/>
        <v>Glamping con jacuzzi y cocina- El Peñol a 30 minutos de Guatapé</v>
      </c>
      <c r="E428" s="15"/>
      <c r="F428" s="15"/>
      <c r="G428" s="14">
        <v>45742</v>
      </c>
    </row>
    <row r="429" spans="1:7" x14ac:dyDescent="0.3">
      <c r="A429" t="str">
        <f t="shared" si="22"/>
        <v>EL PEÑOL, GUATAPÉ</v>
      </c>
      <c r="B429" t="str">
        <f t="shared" si="23"/>
        <v>Glamping con jacuzzi y cocina- El Peñol a 30 minutos de Guatapé</v>
      </c>
      <c r="E429" s="15"/>
      <c r="F429" s="15"/>
      <c r="G429" s="14">
        <v>45743</v>
      </c>
    </row>
    <row r="430" spans="1:7" x14ac:dyDescent="0.3">
      <c r="A430" t="str">
        <f t="shared" si="22"/>
        <v>EL PEÑOL, GUATAPÉ</v>
      </c>
      <c r="B430" t="str">
        <f t="shared" si="23"/>
        <v>Glamping con jacuzzi y cocina- El Peñol a 30 minutos de Guatapé</v>
      </c>
      <c r="E430" s="15"/>
      <c r="F430" s="15"/>
      <c r="G430" s="14">
        <v>45744</v>
      </c>
    </row>
    <row r="431" spans="1:7" x14ac:dyDescent="0.3">
      <c r="A431" t="str">
        <f t="shared" si="22"/>
        <v>EL PEÑOL, GUATAPÉ</v>
      </c>
      <c r="B431" t="str">
        <f t="shared" si="23"/>
        <v>Glamping con jacuzzi y cocina- El Peñol a 30 minutos de Guatapé</v>
      </c>
      <c r="E431" s="15"/>
      <c r="F431" s="15"/>
      <c r="G431" s="14">
        <v>45745</v>
      </c>
    </row>
    <row r="432" spans="1:7" x14ac:dyDescent="0.3">
      <c r="A432" t="str">
        <f t="shared" si="22"/>
        <v>EL PEÑOL, GUATAPÉ</v>
      </c>
      <c r="B432" t="str">
        <f t="shared" si="23"/>
        <v>Glamping con jacuzzi y cocina- El Peñol a 30 minutos de Guatapé</v>
      </c>
      <c r="E432" s="15"/>
      <c r="F432" s="15"/>
      <c r="G432" s="14">
        <v>45746</v>
      </c>
    </row>
    <row r="433" spans="1:7" x14ac:dyDescent="0.3">
      <c r="A433" t="str">
        <f t="shared" si="22"/>
        <v>EL PEÑOL, GUATAPÉ</v>
      </c>
      <c r="B433" t="str">
        <f t="shared" si="23"/>
        <v>Glamping con jacuzzi y cocina- El Peñol a 30 minutos de Guatapé</v>
      </c>
      <c r="E433" s="15"/>
      <c r="F433" s="15"/>
      <c r="G433" s="14">
        <v>45747</v>
      </c>
    </row>
    <row r="434" spans="1:7" x14ac:dyDescent="0.3">
      <c r="A434" t="str">
        <f t="shared" si="22"/>
        <v>EL PEÑOL, GUATAPÉ</v>
      </c>
      <c r="B434" t="str">
        <f t="shared" si="23"/>
        <v>Glamping con jacuzzi y cocina- El Peñol a 30 minutos de Guatapé</v>
      </c>
      <c r="E434" s="15"/>
      <c r="F434" s="15"/>
      <c r="G434" s="14">
        <v>45748</v>
      </c>
    </row>
    <row r="435" spans="1:7" x14ac:dyDescent="0.3">
      <c r="A435" t="str">
        <f t="shared" si="22"/>
        <v>EL PEÑOL, GUATAPÉ</v>
      </c>
      <c r="B435" t="str">
        <f t="shared" si="23"/>
        <v>Glamping con jacuzzi y cocina- El Peñol a 30 minutos de Guatapé</v>
      </c>
      <c r="E435" s="15"/>
      <c r="F435" s="15"/>
      <c r="G435" s="14">
        <v>45749</v>
      </c>
    </row>
    <row r="436" spans="1:7" x14ac:dyDescent="0.3">
      <c r="A436" t="str">
        <f t="shared" si="22"/>
        <v>EL PEÑOL, GUATAPÉ</v>
      </c>
      <c r="B436" t="str">
        <f t="shared" si="23"/>
        <v>Glamping con jacuzzi y cocina- El Peñol a 30 minutos de Guatapé</v>
      </c>
      <c r="E436" s="15"/>
      <c r="F436" s="15"/>
      <c r="G436" s="14">
        <v>45750</v>
      </c>
    </row>
    <row r="437" spans="1:7" x14ac:dyDescent="0.3">
      <c r="A437" t="str">
        <f t="shared" si="22"/>
        <v>EL PEÑOL, GUATAPÉ</v>
      </c>
      <c r="B437" t="str">
        <f t="shared" si="23"/>
        <v>Glamping con jacuzzi y cocina- El Peñol a 30 minutos de Guatapé</v>
      </c>
      <c r="E437" s="15"/>
      <c r="F437" s="15"/>
      <c r="G437" s="14">
        <v>45751</v>
      </c>
    </row>
    <row r="438" spans="1:7" x14ac:dyDescent="0.3">
      <c r="A438" t="str">
        <f t="shared" si="22"/>
        <v>EL PEÑOL, GUATAPÉ</v>
      </c>
      <c r="B438" t="str">
        <f t="shared" si="23"/>
        <v>Glamping con jacuzzi y cocina- El Peñol a 30 minutos de Guatapé</v>
      </c>
      <c r="E438" s="15"/>
      <c r="F438" s="15"/>
      <c r="G438" s="14">
        <v>45752</v>
      </c>
    </row>
    <row r="439" spans="1:7" x14ac:dyDescent="0.3">
      <c r="A439" t="str">
        <f t="shared" si="22"/>
        <v>EL PEÑOL, GUATAPÉ</v>
      </c>
      <c r="B439" t="str">
        <f t="shared" si="23"/>
        <v>Glamping con jacuzzi y cocina- El Peñol a 30 minutos de Guatapé</v>
      </c>
      <c r="E439" s="15"/>
      <c r="F439" s="15"/>
      <c r="G439" s="14">
        <v>45753</v>
      </c>
    </row>
    <row r="440" spans="1:7" x14ac:dyDescent="0.3">
      <c r="A440" t="str">
        <f t="shared" si="22"/>
        <v>EL PEÑOL, GUATAPÉ</v>
      </c>
      <c r="B440" t="str">
        <f t="shared" si="23"/>
        <v>Glamping con jacuzzi y cocina- El Peñol a 30 minutos de Guatapé</v>
      </c>
      <c r="E440" s="15"/>
      <c r="F440" s="15"/>
      <c r="G440" s="14">
        <v>45754</v>
      </c>
    </row>
    <row r="441" spans="1:7" x14ac:dyDescent="0.3">
      <c r="A441" t="str">
        <f t="shared" si="22"/>
        <v>EL PEÑOL, GUATAPÉ</v>
      </c>
      <c r="B441" t="str">
        <f t="shared" si="23"/>
        <v>Glamping con jacuzzi y cocina- El Peñol a 30 minutos de Guatapé</v>
      </c>
      <c r="E441" s="15"/>
      <c r="F441" s="15"/>
      <c r="G441" s="14">
        <v>45755</v>
      </c>
    </row>
    <row r="442" spans="1:7" x14ac:dyDescent="0.3">
      <c r="A442" t="str">
        <f t="shared" si="22"/>
        <v>EL PEÑOL, GUATAPÉ</v>
      </c>
      <c r="B442" t="str">
        <f t="shared" si="23"/>
        <v>Glamping con jacuzzi y cocina- El Peñol a 30 minutos de Guatapé</v>
      </c>
      <c r="E442" s="15"/>
      <c r="F442" s="15"/>
      <c r="G442" s="14">
        <v>45756</v>
      </c>
    </row>
    <row r="443" spans="1:7" x14ac:dyDescent="0.3">
      <c r="A443" t="str">
        <f t="shared" si="22"/>
        <v>EL PEÑOL, GUATAPÉ</v>
      </c>
      <c r="B443" t="str">
        <f t="shared" si="23"/>
        <v>Glamping con jacuzzi y cocina- El Peñol a 30 minutos de Guatapé</v>
      </c>
      <c r="E443" s="15"/>
      <c r="F443" s="15"/>
      <c r="G443" s="14">
        <v>45757</v>
      </c>
    </row>
    <row r="444" spans="1:7" x14ac:dyDescent="0.3">
      <c r="A444" t="str">
        <f t="shared" si="22"/>
        <v>EL PEÑOL, GUATAPÉ</v>
      </c>
      <c r="B444" t="str">
        <f t="shared" si="23"/>
        <v>Glamping con jacuzzi y cocina- El Peñol a 30 minutos de Guatapé</v>
      </c>
      <c r="E444" s="15"/>
      <c r="F444" s="15"/>
      <c r="G444" s="14">
        <v>45758</v>
      </c>
    </row>
    <row r="445" spans="1:7" x14ac:dyDescent="0.3">
      <c r="A445" t="str">
        <f t="shared" si="22"/>
        <v>EL PEÑOL, GUATAPÉ</v>
      </c>
      <c r="B445" t="str">
        <f t="shared" si="23"/>
        <v>Glamping con jacuzzi y cocina- El Peñol a 30 minutos de Guatapé</v>
      </c>
      <c r="E445" s="15"/>
      <c r="F445" s="15"/>
      <c r="G445" s="14">
        <v>45759</v>
      </c>
    </row>
    <row r="446" spans="1:7" x14ac:dyDescent="0.3">
      <c r="A446" t="str">
        <f t="shared" si="22"/>
        <v>EL PEÑOL, GUATAPÉ</v>
      </c>
      <c r="B446" t="str">
        <f t="shared" si="23"/>
        <v>Glamping con jacuzzi y cocina- El Peñol a 30 minutos de Guatapé</v>
      </c>
      <c r="E446" s="15"/>
      <c r="F446" s="15"/>
      <c r="G446" s="14">
        <v>45760</v>
      </c>
    </row>
    <row r="447" spans="1:7" x14ac:dyDescent="0.3">
      <c r="A447" t="str">
        <f t="shared" si="22"/>
        <v>EL PEÑOL, GUATAPÉ</v>
      </c>
      <c r="B447" t="str">
        <f t="shared" si="23"/>
        <v>Glamping con jacuzzi y cocina- El Peñol a 30 minutos de Guatapé</v>
      </c>
      <c r="E447" s="15"/>
      <c r="F447" s="15"/>
      <c r="G447" s="14">
        <v>45761</v>
      </c>
    </row>
    <row r="448" spans="1:7" x14ac:dyDescent="0.3">
      <c r="A448" t="str">
        <f t="shared" si="22"/>
        <v>EL PEÑOL, GUATAPÉ</v>
      </c>
      <c r="B448" t="str">
        <f t="shared" si="23"/>
        <v>Glamping con jacuzzi y cocina- El Peñol a 30 minutos de Guatapé</v>
      </c>
      <c r="E448" s="15"/>
      <c r="F448" s="15"/>
      <c r="G448" s="14">
        <v>45762</v>
      </c>
    </row>
    <row r="449" spans="1:7" x14ac:dyDescent="0.3">
      <c r="A449" t="str">
        <f t="shared" si="22"/>
        <v>EL PEÑOL, GUATAPÉ</v>
      </c>
      <c r="B449" t="str">
        <f t="shared" si="23"/>
        <v>Glamping con jacuzzi y cocina- El Peñol a 30 minutos de Guatapé</v>
      </c>
      <c r="E449" s="15"/>
      <c r="F449" s="15"/>
      <c r="G449" s="14">
        <v>45763</v>
      </c>
    </row>
    <row r="450" spans="1:7" x14ac:dyDescent="0.3">
      <c r="A450" t="str">
        <f t="shared" si="22"/>
        <v>EL PEÑOL, GUATAPÉ</v>
      </c>
      <c r="B450" t="str">
        <f t="shared" si="23"/>
        <v>Glamping con jacuzzi y cocina- El Peñol a 30 minutos de Guatapé</v>
      </c>
      <c r="E450" s="15"/>
      <c r="F450" s="15"/>
      <c r="G450" s="14">
        <v>45764</v>
      </c>
    </row>
    <row r="451" spans="1:7" x14ac:dyDescent="0.3">
      <c r="A451" t="str">
        <f t="shared" si="22"/>
        <v>EL PEÑOL, GUATAPÉ</v>
      </c>
      <c r="B451" t="str">
        <f t="shared" si="23"/>
        <v>Glamping con jacuzzi y cocina- El Peñol a 30 minutos de Guatapé</v>
      </c>
      <c r="E451" s="15"/>
      <c r="F451" s="15"/>
      <c r="G451" s="14">
        <v>45765</v>
      </c>
    </row>
    <row r="452" spans="1:7" x14ac:dyDescent="0.3">
      <c r="A452" t="str">
        <f t="shared" si="22"/>
        <v>EL PEÑOL, GUATAPÉ</v>
      </c>
      <c r="B452" t="str">
        <f t="shared" si="23"/>
        <v>Glamping con jacuzzi y cocina- El Peñol a 30 minutos de Guatapé</v>
      </c>
      <c r="E452" s="15"/>
      <c r="F452" s="15"/>
      <c r="G452" s="14">
        <v>45766</v>
      </c>
    </row>
    <row r="453" spans="1:7" x14ac:dyDescent="0.3">
      <c r="A453" t="str">
        <f t="shared" si="22"/>
        <v>EL PEÑOL, GUATAPÉ</v>
      </c>
      <c r="B453" t="str">
        <f t="shared" si="23"/>
        <v>Glamping con jacuzzi y cocina- El Peñol a 30 minutos de Guatapé</v>
      </c>
      <c r="E453" s="15"/>
      <c r="F453" s="15"/>
      <c r="G453" s="14">
        <v>45767</v>
      </c>
    </row>
    <row r="454" spans="1:7" x14ac:dyDescent="0.3">
      <c r="A454" t="str">
        <f t="shared" si="22"/>
        <v>EL PEÑOL, GUATAPÉ</v>
      </c>
      <c r="B454" t="str">
        <f t="shared" si="23"/>
        <v>Glamping con jacuzzi y cocina- El Peñol a 30 minutos de Guatapé</v>
      </c>
      <c r="E454" s="15"/>
      <c r="F454" s="15"/>
      <c r="G454" s="14">
        <v>45768</v>
      </c>
    </row>
    <row r="455" spans="1:7" x14ac:dyDescent="0.3">
      <c r="A455" t="str">
        <f t="shared" si="22"/>
        <v>EL PEÑOL, GUATAPÉ</v>
      </c>
      <c r="B455" t="str">
        <f t="shared" si="23"/>
        <v>Glamping con jacuzzi y cocina- El Peñol a 30 minutos de Guatapé</v>
      </c>
      <c r="E455" s="15"/>
      <c r="F455" s="15"/>
      <c r="G455" s="14">
        <v>45769</v>
      </c>
    </row>
    <row r="456" spans="1:7" x14ac:dyDescent="0.3">
      <c r="A456" t="str">
        <f t="shared" si="22"/>
        <v>EL PEÑOL, GUATAPÉ</v>
      </c>
      <c r="B456" t="str">
        <f t="shared" si="23"/>
        <v>Glamping con jacuzzi y cocina- El Peñol a 30 minutos de Guatapé</v>
      </c>
      <c r="E456" s="15"/>
      <c r="F456" s="15"/>
      <c r="G456" s="14">
        <v>45770</v>
      </c>
    </row>
    <row r="457" spans="1:7" x14ac:dyDescent="0.3">
      <c r="A457" t="str">
        <f t="shared" si="22"/>
        <v>EL PEÑOL, GUATAPÉ</v>
      </c>
      <c r="B457" t="str">
        <f t="shared" si="23"/>
        <v>Glamping con jacuzzi y cocina- El Peñol a 30 minutos de Guatapé</v>
      </c>
      <c r="E457" s="15"/>
      <c r="F457" s="15"/>
      <c r="G457" s="14">
        <v>45771</v>
      </c>
    </row>
    <row r="458" spans="1:7" x14ac:dyDescent="0.3">
      <c r="A458" t="str">
        <f t="shared" si="22"/>
        <v>EL PEÑOL, GUATAPÉ</v>
      </c>
      <c r="B458" t="str">
        <f t="shared" si="23"/>
        <v>Glamping con jacuzzi y cocina- El Peñol a 30 minutos de Guatapé</v>
      </c>
      <c r="E458" s="15"/>
      <c r="F458" s="15"/>
      <c r="G458" s="14">
        <v>45772</v>
      </c>
    </row>
    <row r="459" spans="1:7" x14ac:dyDescent="0.3">
      <c r="A459" t="str">
        <f t="shared" si="22"/>
        <v>EL PEÑOL, GUATAPÉ</v>
      </c>
      <c r="B459" t="str">
        <f t="shared" si="23"/>
        <v>Glamping con jacuzzi y cocina- El Peñol a 30 minutos de Guatapé</v>
      </c>
      <c r="E459" s="15"/>
      <c r="F459" s="15"/>
      <c r="G459" s="14">
        <v>45773</v>
      </c>
    </row>
    <row r="460" spans="1:7" x14ac:dyDescent="0.3">
      <c r="A460" t="str">
        <f t="shared" si="22"/>
        <v>EL PEÑOL, GUATAPÉ</v>
      </c>
      <c r="B460" t="str">
        <f t="shared" si="23"/>
        <v>Glamping con jacuzzi y cocina- El Peñol a 30 minutos de Guatapé</v>
      </c>
      <c r="E460" s="15"/>
      <c r="F460" s="15"/>
      <c r="G460" s="14">
        <v>45774</v>
      </c>
    </row>
    <row r="461" spans="1:7" x14ac:dyDescent="0.3">
      <c r="A461" t="str">
        <f t="shared" si="22"/>
        <v>EL PEÑOL, GUATAPÉ</v>
      </c>
      <c r="B461" t="str">
        <f t="shared" si="23"/>
        <v>Glamping con jacuzzi y cocina- El Peñol a 30 minutos de Guatapé</v>
      </c>
      <c r="E461" s="15"/>
      <c r="F461" s="15"/>
      <c r="G461" s="14">
        <v>45775</v>
      </c>
    </row>
    <row r="462" spans="1:7" x14ac:dyDescent="0.3">
      <c r="A462" t="str">
        <f t="shared" si="22"/>
        <v>EL PEÑOL, GUATAPÉ</v>
      </c>
      <c r="B462" t="str">
        <f t="shared" si="23"/>
        <v>Glamping con jacuzzi y cocina- El Peñol a 30 minutos de Guatapé</v>
      </c>
      <c r="E462" s="15"/>
      <c r="F462" s="15"/>
      <c r="G462" s="14">
        <v>45776</v>
      </c>
    </row>
    <row r="463" spans="1:7" x14ac:dyDescent="0.3">
      <c r="A463" t="str">
        <f t="shared" si="22"/>
        <v>EL PEÑOL, GUATAPÉ</v>
      </c>
      <c r="B463" t="str">
        <f t="shared" si="23"/>
        <v>Glamping con jacuzzi y cocina- El Peñol a 30 minutos de Guatapé</v>
      </c>
      <c r="E463" s="15"/>
      <c r="F463" s="15"/>
      <c r="G463" s="14">
        <v>45777</v>
      </c>
    </row>
    <row r="464" spans="1:7" x14ac:dyDescent="0.3">
      <c r="A464" t="s">
        <v>8</v>
      </c>
      <c r="B464" t="s">
        <v>83</v>
      </c>
      <c r="E464" s="15"/>
      <c r="F464" s="15"/>
      <c r="G464" s="14">
        <v>45736</v>
      </c>
    </row>
    <row r="465" spans="1:7" x14ac:dyDescent="0.3">
      <c r="A465" t="str">
        <f t="shared" ref="A465:A505" si="24">+A464</f>
        <v>EL PEÑOL, GUATAPÉ</v>
      </c>
      <c r="B465" t="str">
        <f t="shared" ref="B465:B505" si="25">+B464</f>
        <v>Finca con jacuzzi a 15min de Guatape</v>
      </c>
      <c r="E465" s="15"/>
      <c r="F465" s="15"/>
      <c r="G465" s="14">
        <v>45737</v>
      </c>
    </row>
    <row r="466" spans="1:7" x14ac:dyDescent="0.3">
      <c r="A466" t="str">
        <f t="shared" si="24"/>
        <v>EL PEÑOL, GUATAPÉ</v>
      </c>
      <c r="B466" t="str">
        <f t="shared" si="25"/>
        <v>Finca con jacuzzi a 15min de Guatape</v>
      </c>
      <c r="E466" s="15"/>
      <c r="F466" s="15"/>
      <c r="G466" s="14">
        <v>45738</v>
      </c>
    </row>
    <row r="467" spans="1:7" x14ac:dyDescent="0.3">
      <c r="A467" t="str">
        <f t="shared" si="24"/>
        <v>EL PEÑOL, GUATAPÉ</v>
      </c>
      <c r="B467" t="str">
        <f t="shared" si="25"/>
        <v>Finca con jacuzzi a 15min de Guatape</v>
      </c>
      <c r="E467" s="15"/>
      <c r="F467" s="15"/>
      <c r="G467" s="14">
        <v>45739</v>
      </c>
    </row>
    <row r="468" spans="1:7" x14ac:dyDescent="0.3">
      <c r="A468" t="str">
        <f t="shared" si="24"/>
        <v>EL PEÑOL, GUATAPÉ</v>
      </c>
      <c r="B468" t="str">
        <f t="shared" si="25"/>
        <v>Finca con jacuzzi a 15min de Guatape</v>
      </c>
      <c r="E468" s="15"/>
      <c r="F468" s="15"/>
      <c r="G468" s="14">
        <v>45740</v>
      </c>
    </row>
    <row r="469" spans="1:7" x14ac:dyDescent="0.3">
      <c r="A469" t="str">
        <f t="shared" si="24"/>
        <v>EL PEÑOL, GUATAPÉ</v>
      </c>
      <c r="B469" t="str">
        <f t="shared" si="25"/>
        <v>Finca con jacuzzi a 15min de Guatape</v>
      </c>
      <c r="E469" s="15"/>
      <c r="F469" s="15"/>
      <c r="G469" s="14">
        <v>45741</v>
      </c>
    </row>
    <row r="470" spans="1:7" x14ac:dyDescent="0.3">
      <c r="A470" t="str">
        <f t="shared" si="24"/>
        <v>EL PEÑOL, GUATAPÉ</v>
      </c>
      <c r="B470" t="str">
        <f t="shared" si="25"/>
        <v>Finca con jacuzzi a 15min de Guatape</v>
      </c>
      <c r="E470" s="15"/>
      <c r="F470" s="15"/>
      <c r="G470" s="14">
        <v>45742</v>
      </c>
    </row>
    <row r="471" spans="1:7" x14ac:dyDescent="0.3">
      <c r="A471" t="str">
        <f t="shared" si="24"/>
        <v>EL PEÑOL, GUATAPÉ</v>
      </c>
      <c r="B471" t="str">
        <f t="shared" si="25"/>
        <v>Finca con jacuzzi a 15min de Guatape</v>
      </c>
      <c r="E471" s="15"/>
      <c r="F471" s="15"/>
      <c r="G471" s="14">
        <v>45743</v>
      </c>
    </row>
    <row r="472" spans="1:7" x14ac:dyDescent="0.3">
      <c r="A472" t="str">
        <f t="shared" si="24"/>
        <v>EL PEÑOL, GUATAPÉ</v>
      </c>
      <c r="B472" t="str">
        <f t="shared" si="25"/>
        <v>Finca con jacuzzi a 15min de Guatape</v>
      </c>
      <c r="E472" s="15"/>
      <c r="F472" s="15"/>
      <c r="G472" s="14">
        <v>45744</v>
      </c>
    </row>
    <row r="473" spans="1:7" x14ac:dyDescent="0.3">
      <c r="A473" t="str">
        <f t="shared" si="24"/>
        <v>EL PEÑOL, GUATAPÉ</v>
      </c>
      <c r="B473" t="str">
        <f t="shared" si="25"/>
        <v>Finca con jacuzzi a 15min de Guatape</v>
      </c>
      <c r="E473" s="15"/>
      <c r="F473" s="15"/>
      <c r="G473" s="14">
        <v>45745</v>
      </c>
    </row>
    <row r="474" spans="1:7" x14ac:dyDescent="0.3">
      <c r="A474" t="str">
        <f t="shared" si="24"/>
        <v>EL PEÑOL, GUATAPÉ</v>
      </c>
      <c r="B474" t="str">
        <f t="shared" si="25"/>
        <v>Finca con jacuzzi a 15min de Guatape</v>
      </c>
      <c r="E474" s="15"/>
      <c r="F474" s="15"/>
      <c r="G474" s="14">
        <v>45746</v>
      </c>
    </row>
    <row r="475" spans="1:7" x14ac:dyDescent="0.3">
      <c r="A475" t="str">
        <f t="shared" si="24"/>
        <v>EL PEÑOL, GUATAPÉ</v>
      </c>
      <c r="B475" t="str">
        <f t="shared" si="25"/>
        <v>Finca con jacuzzi a 15min de Guatape</v>
      </c>
      <c r="E475" s="15"/>
      <c r="F475" s="15"/>
      <c r="G475" s="14">
        <v>45747</v>
      </c>
    </row>
    <row r="476" spans="1:7" x14ac:dyDescent="0.3">
      <c r="A476" t="str">
        <f t="shared" si="24"/>
        <v>EL PEÑOL, GUATAPÉ</v>
      </c>
      <c r="B476" t="str">
        <f t="shared" si="25"/>
        <v>Finca con jacuzzi a 15min de Guatape</v>
      </c>
      <c r="E476" s="15"/>
      <c r="F476" s="15"/>
      <c r="G476" s="14">
        <v>45748</v>
      </c>
    </row>
    <row r="477" spans="1:7" x14ac:dyDescent="0.3">
      <c r="A477" t="str">
        <f t="shared" si="24"/>
        <v>EL PEÑOL, GUATAPÉ</v>
      </c>
      <c r="B477" t="str">
        <f t="shared" si="25"/>
        <v>Finca con jacuzzi a 15min de Guatape</v>
      </c>
      <c r="E477" s="15"/>
      <c r="F477" s="15"/>
      <c r="G477" s="14">
        <v>45749</v>
      </c>
    </row>
    <row r="478" spans="1:7" x14ac:dyDescent="0.3">
      <c r="A478" t="str">
        <f t="shared" si="24"/>
        <v>EL PEÑOL, GUATAPÉ</v>
      </c>
      <c r="B478" t="str">
        <f t="shared" si="25"/>
        <v>Finca con jacuzzi a 15min de Guatape</v>
      </c>
      <c r="E478" s="15"/>
      <c r="F478" s="15"/>
      <c r="G478" s="14">
        <v>45750</v>
      </c>
    </row>
    <row r="479" spans="1:7" x14ac:dyDescent="0.3">
      <c r="A479" t="str">
        <f t="shared" si="24"/>
        <v>EL PEÑOL, GUATAPÉ</v>
      </c>
      <c r="B479" t="str">
        <f t="shared" si="25"/>
        <v>Finca con jacuzzi a 15min de Guatape</v>
      </c>
      <c r="E479" s="15"/>
      <c r="F479" s="15"/>
      <c r="G479" s="14">
        <v>45751</v>
      </c>
    </row>
    <row r="480" spans="1:7" x14ac:dyDescent="0.3">
      <c r="A480" t="str">
        <f t="shared" si="24"/>
        <v>EL PEÑOL, GUATAPÉ</v>
      </c>
      <c r="B480" t="str">
        <f t="shared" si="25"/>
        <v>Finca con jacuzzi a 15min de Guatape</v>
      </c>
      <c r="E480" s="15"/>
      <c r="F480" s="15"/>
      <c r="G480" s="14">
        <v>45752</v>
      </c>
    </row>
    <row r="481" spans="1:7" x14ac:dyDescent="0.3">
      <c r="A481" t="str">
        <f t="shared" si="24"/>
        <v>EL PEÑOL, GUATAPÉ</v>
      </c>
      <c r="B481" t="str">
        <f t="shared" si="25"/>
        <v>Finca con jacuzzi a 15min de Guatape</v>
      </c>
      <c r="E481" s="15"/>
      <c r="F481" s="15"/>
      <c r="G481" s="14">
        <v>45753</v>
      </c>
    </row>
    <row r="482" spans="1:7" x14ac:dyDescent="0.3">
      <c r="A482" t="str">
        <f t="shared" si="24"/>
        <v>EL PEÑOL, GUATAPÉ</v>
      </c>
      <c r="B482" t="str">
        <f t="shared" si="25"/>
        <v>Finca con jacuzzi a 15min de Guatape</v>
      </c>
      <c r="E482" s="15"/>
      <c r="F482" s="15"/>
      <c r="G482" s="14">
        <v>45754</v>
      </c>
    </row>
    <row r="483" spans="1:7" x14ac:dyDescent="0.3">
      <c r="A483" t="str">
        <f t="shared" si="24"/>
        <v>EL PEÑOL, GUATAPÉ</v>
      </c>
      <c r="B483" t="str">
        <f t="shared" si="25"/>
        <v>Finca con jacuzzi a 15min de Guatape</v>
      </c>
      <c r="E483" s="15"/>
      <c r="F483" s="15"/>
      <c r="G483" s="14">
        <v>45755</v>
      </c>
    </row>
    <row r="484" spans="1:7" x14ac:dyDescent="0.3">
      <c r="A484" t="str">
        <f t="shared" si="24"/>
        <v>EL PEÑOL, GUATAPÉ</v>
      </c>
      <c r="B484" t="str">
        <f t="shared" si="25"/>
        <v>Finca con jacuzzi a 15min de Guatape</v>
      </c>
      <c r="E484" s="15"/>
      <c r="F484" s="15"/>
      <c r="G484" s="14">
        <v>45756</v>
      </c>
    </row>
    <row r="485" spans="1:7" x14ac:dyDescent="0.3">
      <c r="A485" t="str">
        <f t="shared" si="24"/>
        <v>EL PEÑOL, GUATAPÉ</v>
      </c>
      <c r="B485" t="str">
        <f t="shared" si="25"/>
        <v>Finca con jacuzzi a 15min de Guatape</v>
      </c>
      <c r="E485" s="15"/>
      <c r="F485" s="15"/>
      <c r="G485" s="14">
        <v>45757</v>
      </c>
    </row>
    <row r="486" spans="1:7" x14ac:dyDescent="0.3">
      <c r="A486" t="str">
        <f t="shared" si="24"/>
        <v>EL PEÑOL, GUATAPÉ</v>
      </c>
      <c r="B486" t="str">
        <f t="shared" si="25"/>
        <v>Finca con jacuzzi a 15min de Guatape</v>
      </c>
      <c r="E486" s="15"/>
      <c r="F486" s="15"/>
      <c r="G486" s="14">
        <v>45758</v>
      </c>
    </row>
    <row r="487" spans="1:7" x14ac:dyDescent="0.3">
      <c r="A487" t="str">
        <f t="shared" si="24"/>
        <v>EL PEÑOL, GUATAPÉ</v>
      </c>
      <c r="B487" t="str">
        <f t="shared" si="25"/>
        <v>Finca con jacuzzi a 15min de Guatape</v>
      </c>
      <c r="E487" s="15"/>
      <c r="F487" s="15"/>
      <c r="G487" s="14">
        <v>45759</v>
      </c>
    </row>
    <row r="488" spans="1:7" x14ac:dyDescent="0.3">
      <c r="A488" t="str">
        <f t="shared" si="24"/>
        <v>EL PEÑOL, GUATAPÉ</v>
      </c>
      <c r="B488" t="str">
        <f t="shared" si="25"/>
        <v>Finca con jacuzzi a 15min de Guatape</v>
      </c>
      <c r="E488" s="15"/>
      <c r="F488" s="15"/>
      <c r="G488" s="14">
        <v>45760</v>
      </c>
    </row>
    <row r="489" spans="1:7" x14ac:dyDescent="0.3">
      <c r="A489" t="str">
        <f t="shared" si="24"/>
        <v>EL PEÑOL, GUATAPÉ</v>
      </c>
      <c r="B489" t="str">
        <f t="shared" si="25"/>
        <v>Finca con jacuzzi a 15min de Guatape</v>
      </c>
      <c r="E489" s="15"/>
      <c r="F489" s="15"/>
      <c r="G489" s="14">
        <v>45761</v>
      </c>
    </row>
    <row r="490" spans="1:7" x14ac:dyDescent="0.3">
      <c r="A490" t="str">
        <f t="shared" si="24"/>
        <v>EL PEÑOL, GUATAPÉ</v>
      </c>
      <c r="B490" t="str">
        <f t="shared" si="25"/>
        <v>Finca con jacuzzi a 15min de Guatape</v>
      </c>
      <c r="E490" s="15"/>
      <c r="F490" s="15"/>
      <c r="G490" s="14">
        <v>45762</v>
      </c>
    </row>
    <row r="491" spans="1:7" x14ac:dyDescent="0.3">
      <c r="A491" t="str">
        <f t="shared" si="24"/>
        <v>EL PEÑOL, GUATAPÉ</v>
      </c>
      <c r="B491" t="str">
        <f t="shared" si="25"/>
        <v>Finca con jacuzzi a 15min de Guatape</v>
      </c>
      <c r="E491" s="15"/>
      <c r="F491" s="15"/>
      <c r="G491" s="14">
        <v>45763</v>
      </c>
    </row>
    <row r="492" spans="1:7" x14ac:dyDescent="0.3">
      <c r="A492" t="str">
        <f t="shared" si="24"/>
        <v>EL PEÑOL, GUATAPÉ</v>
      </c>
      <c r="B492" t="str">
        <f t="shared" si="25"/>
        <v>Finca con jacuzzi a 15min de Guatape</v>
      </c>
      <c r="E492" s="15"/>
      <c r="F492" s="15"/>
      <c r="G492" s="14">
        <v>45764</v>
      </c>
    </row>
    <row r="493" spans="1:7" x14ac:dyDescent="0.3">
      <c r="A493" t="str">
        <f t="shared" si="24"/>
        <v>EL PEÑOL, GUATAPÉ</v>
      </c>
      <c r="B493" t="str">
        <f t="shared" si="25"/>
        <v>Finca con jacuzzi a 15min de Guatape</v>
      </c>
      <c r="E493" s="15"/>
      <c r="F493" s="15"/>
      <c r="G493" s="14">
        <v>45765</v>
      </c>
    </row>
    <row r="494" spans="1:7" x14ac:dyDescent="0.3">
      <c r="A494" t="str">
        <f t="shared" si="24"/>
        <v>EL PEÑOL, GUATAPÉ</v>
      </c>
      <c r="B494" t="str">
        <f t="shared" si="25"/>
        <v>Finca con jacuzzi a 15min de Guatape</v>
      </c>
      <c r="E494" s="15"/>
      <c r="F494" s="15"/>
      <c r="G494" s="14">
        <v>45766</v>
      </c>
    </row>
    <row r="495" spans="1:7" x14ac:dyDescent="0.3">
      <c r="A495" t="str">
        <f t="shared" si="24"/>
        <v>EL PEÑOL, GUATAPÉ</v>
      </c>
      <c r="B495" t="str">
        <f t="shared" si="25"/>
        <v>Finca con jacuzzi a 15min de Guatape</v>
      </c>
      <c r="E495" s="15"/>
      <c r="F495" s="15"/>
      <c r="G495" s="14">
        <v>45767</v>
      </c>
    </row>
    <row r="496" spans="1:7" x14ac:dyDescent="0.3">
      <c r="A496" t="str">
        <f t="shared" si="24"/>
        <v>EL PEÑOL, GUATAPÉ</v>
      </c>
      <c r="B496" t="str">
        <f t="shared" si="25"/>
        <v>Finca con jacuzzi a 15min de Guatape</v>
      </c>
      <c r="E496" s="15"/>
      <c r="F496" s="15"/>
      <c r="G496" s="14">
        <v>45768</v>
      </c>
    </row>
    <row r="497" spans="1:7" x14ac:dyDescent="0.3">
      <c r="A497" t="str">
        <f t="shared" si="24"/>
        <v>EL PEÑOL, GUATAPÉ</v>
      </c>
      <c r="B497" t="str">
        <f t="shared" si="25"/>
        <v>Finca con jacuzzi a 15min de Guatape</v>
      </c>
      <c r="E497" s="15"/>
      <c r="F497" s="15"/>
      <c r="G497" s="14">
        <v>45769</v>
      </c>
    </row>
    <row r="498" spans="1:7" x14ac:dyDescent="0.3">
      <c r="A498" t="str">
        <f t="shared" si="24"/>
        <v>EL PEÑOL, GUATAPÉ</v>
      </c>
      <c r="B498" t="str">
        <f t="shared" si="25"/>
        <v>Finca con jacuzzi a 15min de Guatape</v>
      </c>
      <c r="E498" s="15"/>
      <c r="F498" s="15"/>
      <c r="G498" s="14">
        <v>45770</v>
      </c>
    </row>
    <row r="499" spans="1:7" x14ac:dyDescent="0.3">
      <c r="A499" t="str">
        <f t="shared" si="24"/>
        <v>EL PEÑOL, GUATAPÉ</v>
      </c>
      <c r="B499" t="str">
        <f t="shared" si="25"/>
        <v>Finca con jacuzzi a 15min de Guatape</v>
      </c>
      <c r="E499" s="15"/>
      <c r="F499" s="15"/>
      <c r="G499" s="14">
        <v>45771</v>
      </c>
    </row>
    <row r="500" spans="1:7" x14ac:dyDescent="0.3">
      <c r="A500" t="str">
        <f t="shared" si="24"/>
        <v>EL PEÑOL, GUATAPÉ</v>
      </c>
      <c r="B500" t="str">
        <f t="shared" si="25"/>
        <v>Finca con jacuzzi a 15min de Guatape</v>
      </c>
      <c r="E500" s="15"/>
      <c r="F500" s="15"/>
      <c r="G500" s="14">
        <v>45772</v>
      </c>
    </row>
    <row r="501" spans="1:7" x14ac:dyDescent="0.3">
      <c r="A501" t="str">
        <f t="shared" si="24"/>
        <v>EL PEÑOL, GUATAPÉ</v>
      </c>
      <c r="B501" t="str">
        <f t="shared" si="25"/>
        <v>Finca con jacuzzi a 15min de Guatape</v>
      </c>
      <c r="E501" s="15"/>
      <c r="F501" s="15"/>
      <c r="G501" s="14">
        <v>45773</v>
      </c>
    </row>
    <row r="502" spans="1:7" x14ac:dyDescent="0.3">
      <c r="A502" t="str">
        <f t="shared" si="24"/>
        <v>EL PEÑOL, GUATAPÉ</v>
      </c>
      <c r="B502" t="str">
        <f t="shared" si="25"/>
        <v>Finca con jacuzzi a 15min de Guatape</v>
      </c>
      <c r="E502" s="15"/>
      <c r="F502" s="15"/>
      <c r="G502" s="14">
        <v>45774</v>
      </c>
    </row>
    <row r="503" spans="1:7" x14ac:dyDescent="0.3">
      <c r="A503" t="str">
        <f t="shared" si="24"/>
        <v>EL PEÑOL, GUATAPÉ</v>
      </c>
      <c r="B503" t="str">
        <f t="shared" si="25"/>
        <v>Finca con jacuzzi a 15min de Guatape</v>
      </c>
      <c r="E503" s="15"/>
      <c r="F503" s="15"/>
      <c r="G503" s="14">
        <v>45775</v>
      </c>
    </row>
    <row r="504" spans="1:7" x14ac:dyDescent="0.3">
      <c r="A504" t="str">
        <f t="shared" si="24"/>
        <v>EL PEÑOL, GUATAPÉ</v>
      </c>
      <c r="B504" t="str">
        <f t="shared" si="25"/>
        <v>Finca con jacuzzi a 15min de Guatape</v>
      </c>
      <c r="E504" s="15"/>
      <c r="F504" s="15"/>
      <c r="G504" s="14">
        <v>45776</v>
      </c>
    </row>
    <row r="505" spans="1:7" x14ac:dyDescent="0.3">
      <c r="A505" t="str">
        <f t="shared" si="24"/>
        <v>EL PEÑOL, GUATAPÉ</v>
      </c>
      <c r="B505" t="str">
        <f t="shared" si="25"/>
        <v>Finca con jacuzzi a 15min de Guatape</v>
      </c>
      <c r="E505" s="15"/>
      <c r="F505" s="15"/>
      <c r="G505" s="14">
        <v>45777</v>
      </c>
    </row>
    <row r="506" spans="1:7" x14ac:dyDescent="0.3">
      <c r="A506" t="s">
        <v>8</v>
      </c>
      <c r="B506" t="s">
        <v>88</v>
      </c>
      <c r="E506" s="15"/>
      <c r="F506" s="15"/>
      <c r="G506" s="14">
        <v>45736</v>
      </c>
    </row>
    <row r="507" spans="1:7" x14ac:dyDescent="0.3">
      <c r="A507" t="str">
        <f t="shared" ref="A507:A547" si="26">+A506</f>
        <v>EL PEÑOL, GUATAPÉ</v>
      </c>
      <c r="B507" t="str">
        <f t="shared" ref="B507:B547" si="27">+B506</f>
        <v>Finca Parcelación Alemania 1 El peñol, Guatapé</v>
      </c>
      <c r="E507" s="15"/>
      <c r="F507" s="15"/>
      <c r="G507" s="14">
        <v>45737</v>
      </c>
    </row>
    <row r="508" spans="1:7" x14ac:dyDescent="0.3">
      <c r="A508" t="str">
        <f t="shared" si="26"/>
        <v>EL PEÑOL, GUATAPÉ</v>
      </c>
      <c r="B508" t="str">
        <f t="shared" si="27"/>
        <v>Finca Parcelación Alemania 1 El peñol, Guatapé</v>
      </c>
      <c r="E508" s="15"/>
      <c r="F508" s="15"/>
      <c r="G508" s="14">
        <v>45738</v>
      </c>
    </row>
    <row r="509" spans="1:7" x14ac:dyDescent="0.3">
      <c r="A509" t="str">
        <f t="shared" si="26"/>
        <v>EL PEÑOL, GUATAPÉ</v>
      </c>
      <c r="B509" t="str">
        <f t="shared" si="27"/>
        <v>Finca Parcelación Alemania 1 El peñol, Guatapé</v>
      </c>
      <c r="E509" s="15"/>
      <c r="F509" s="15"/>
      <c r="G509" s="14">
        <v>45739</v>
      </c>
    </row>
    <row r="510" spans="1:7" x14ac:dyDescent="0.3">
      <c r="A510" t="str">
        <f t="shared" si="26"/>
        <v>EL PEÑOL, GUATAPÉ</v>
      </c>
      <c r="B510" t="str">
        <f t="shared" si="27"/>
        <v>Finca Parcelación Alemania 1 El peñol, Guatapé</v>
      </c>
      <c r="E510" s="15"/>
      <c r="F510" s="15"/>
      <c r="G510" s="14">
        <v>45740</v>
      </c>
    </row>
    <row r="511" spans="1:7" x14ac:dyDescent="0.3">
      <c r="A511" t="str">
        <f t="shared" si="26"/>
        <v>EL PEÑOL, GUATAPÉ</v>
      </c>
      <c r="B511" t="str">
        <f t="shared" si="27"/>
        <v>Finca Parcelación Alemania 1 El peñol, Guatapé</v>
      </c>
      <c r="E511" s="15"/>
      <c r="F511" s="15"/>
      <c r="G511" s="14">
        <v>45741</v>
      </c>
    </row>
    <row r="512" spans="1:7" x14ac:dyDescent="0.3">
      <c r="A512" t="str">
        <f t="shared" si="26"/>
        <v>EL PEÑOL, GUATAPÉ</v>
      </c>
      <c r="B512" t="str">
        <f t="shared" si="27"/>
        <v>Finca Parcelación Alemania 1 El peñol, Guatapé</v>
      </c>
      <c r="E512" s="15"/>
      <c r="F512" s="15"/>
      <c r="G512" s="14">
        <v>45742</v>
      </c>
    </row>
    <row r="513" spans="1:7" x14ac:dyDescent="0.3">
      <c r="A513" t="str">
        <f t="shared" si="26"/>
        <v>EL PEÑOL, GUATAPÉ</v>
      </c>
      <c r="B513" t="str">
        <f t="shared" si="27"/>
        <v>Finca Parcelación Alemania 1 El peñol, Guatapé</v>
      </c>
      <c r="E513" s="15"/>
      <c r="F513" s="15"/>
      <c r="G513" s="14">
        <v>45743</v>
      </c>
    </row>
    <row r="514" spans="1:7" x14ac:dyDescent="0.3">
      <c r="A514" t="str">
        <f t="shared" si="26"/>
        <v>EL PEÑOL, GUATAPÉ</v>
      </c>
      <c r="B514" t="str">
        <f t="shared" si="27"/>
        <v>Finca Parcelación Alemania 1 El peñol, Guatapé</v>
      </c>
      <c r="E514" s="15"/>
      <c r="F514" s="15"/>
      <c r="G514" s="14">
        <v>45744</v>
      </c>
    </row>
    <row r="515" spans="1:7" x14ac:dyDescent="0.3">
      <c r="A515" t="str">
        <f t="shared" si="26"/>
        <v>EL PEÑOL, GUATAPÉ</v>
      </c>
      <c r="B515" t="str">
        <f t="shared" si="27"/>
        <v>Finca Parcelación Alemania 1 El peñol, Guatapé</v>
      </c>
      <c r="E515" s="15"/>
      <c r="F515" s="15"/>
      <c r="G515" s="14">
        <v>45745</v>
      </c>
    </row>
    <row r="516" spans="1:7" x14ac:dyDescent="0.3">
      <c r="A516" t="str">
        <f t="shared" si="26"/>
        <v>EL PEÑOL, GUATAPÉ</v>
      </c>
      <c r="B516" t="str">
        <f t="shared" si="27"/>
        <v>Finca Parcelación Alemania 1 El peñol, Guatapé</v>
      </c>
      <c r="E516" s="15"/>
      <c r="F516" s="15"/>
      <c r="G516" s="14">
        <v>45746</v>
      </c>
    </row>
    <row r="517" spans="1:7" x14ac:dyDescent="0.3">
      <c r="A517" t="str">
        <f t="shared" si="26"/>
        <v>EL PEÑOL, GUATAPÉ</v>
      </c>
      <c r="B517" t="str">
        <f t="shared" si="27"/>
        <v>Finca Parcelación Alemania 1 El peñol, Guatapé</v>
      </c>
      <c r="E517" s="15"/>
      <c r="F517" s="15"/>
      <c r="G517" s="14">
        <v>45747</v>
      </c>
    </row>
    <row r="518" spans="1:7" x14ac:dyDescent="0.3">
      <c r="A518" t="str">
        <f t="shared" si="26"/>
        <v>EL PEÑOL, GUATAPÉ</v>
      </c>
      <c r="B518" t="str">
        <f t="shared" si="27"/>
        <v>Finca Parcelación Alemania 1 El peñol, Guatapé</v>
      </c>
      <c r="E518" s="15"/>
      <c r="F518" s="15"/>
      <c r="G518" s="14">
        <v>45748</v>
      </c>
    </row>
    <row r="519" spans="1:7" x14ac:dyDescent="0.3">
      <c r="A519" t="str">
        <f t="shared" si="26"/>
        <v>EL PEÑOL, GUATAPÉ</v>
      </c>
      <c r="B519" t="str">
        <f t="shared" si="27"/>
        <v>Finca Parcelación Alemania 1 El peñol, Guatapé</v>
      </c>
      <c r="E519" s="15"/>
      <c r="F519" s="15"/>
      <c r="G519" s="14">
        <v>45749</v>
      </c>
    </row>
    <row r="520" spans="1:7" x14ac:dyDescent="0.3">
      <c r="A520" t="str">
        <f t="shared" si="26"/>
        <v>EL PEÑOL, GUATAPÉ</v>
      </c>
      <c r="B520" t="str">
        <f t="shared" si="27"/>
        <v>Finca Parcelación Alemania 1 El peñol, Guatapé</v>
      </c>
      <c r="E520" s="15"/>
      <c r="F520" s="15"/>
      <c r="G520" s="14">
        <v>45750</v>
      </c>
    </row>
    <row r="521" spans="1:7" x14ac:dyDescent="0.3">
      <c r="A521" t="str">
        <f t="shared" si="26"/>
        <v>EL PEÑOL, GUATAPÉ</v>
      </c>
      <c r="B521" t="str">
        <f t="shared" si="27"/>
        <v>Finca Parcelación Alemania 1 El peñol, Guatapé</v>
      </c>
      <c r="E521" s="15"/>
      <c r="F521" s="15"/>
      <c r="G521" s="14">
        <v>45751</v>
      </c>
    </row>
    <row r="522" spans="1:7" x14ac:dyDescent="0.3">
      <c r="A522" t="str">
        <f t="shared" si="26"/>
        <v>EL PEÑOL, GUATAPÉ</v>
      </c>
      <c r="B522" t="str">
        <f t="shared" si="27"/>
        <v>Finca Parcelación Alemania 1 El peñol, Guatapé</v>
      </c>
      <c r="E522" s="15"/>
      <c r="F522" s="15"/>
      <c r="G522" s="14">
        <v>45752</v>
      </c>
    </row>
    <row r="523" spans="1:7" x14ac:dyDescent="0.3">
      <c r="A523" t="str">
        <f t="shared" si="26"/>
        <v>EL PEÑOL, GUATAPÉ</v>
      </c>
      <c r="B523" t="str">
        <f t="shared" si="27"/>
        <v>Finca Parcelación Alemania 1 El peñol, Guatapé</v>
      </c>
      <c r="E523" s="15"/>
      <c r="F523" s="15"/>
      <c r="G523" s="14">
        <v>45753</v>
      </c>
    </row>
    <row r="524" spans="1:7" x14ac:dyDescent="0.3">
      <c r="A524" t="str">
        <f t="shared" si="26"/>
        <v>EL PEÑOL, GUATAPÉ</v>
      </c>
      <c r="B524" t="str">
        <f t="shared" si="27"/>
        <v>Finca Parcelación Alemania 1 El peñol, Guatapé</v>
      </c>
      <c r="E524" s="15"/>
      <c r="F524" s="15"/>
      <c r="G524" s="14">
        <v>45754</v>
      </c>
    </row>
    <row r="525" spans="1:7" x14ac:dyDescent="0.3">
      <c r="A525" t="str">
        <f t="shared" si="26"/>
        <v>EL PEÑOL, GUATAPÉ</v>
      </c>
      <c r="B525" t="str">
        <f t="shared" si="27"/>
        <v>Finca Parcelación Alemania 1 El peñol, Guatapé</v>
      </c>
      <c r="E525" s="15"/>
      <c r="F525" s="15"/>
      <c r="G525" s="14">
        <v>45755</v>
      </c>
    </row>
    <row r="526" spans="1:7" x14ac:dyDescent="0.3">
      <c r="A526" t="str">
        <f t="shared" si="26"/>
        <v>EL PEÑOL, GUATAPÉ</v>
      </c>
      <c r="B526" t="str">
        <f t="shared" si="27"/>
        <v>Finca Parcelación Alemania 1 El peñol, Guatapé</v>
      </c>
      <c r="E526" s="15"/>
      <c r="F526" s="15"/>
      <c r="G526" s="14">
        <v>45756</v>
      </c>
    </row>
    <row r="527" spans="1:7" x14ac:dyDescent="0.3">
      <c r="A527" t="str">
        <f t="shared" si="26"/>
        <v>EL PEÑOL, GUATAPÉ</v>
      </c>
      <c r="B527" t="str">
        <f t="shared" si="27"/>
        <v>Finca Parcelación Alemania 1 El peñol, Guatapé</v>
      </c>
      <c r="E527" s="15"/>
      <c r="F527" s="15"/>
      <c r="G527" s="14">
        <v>45757</v>
      </c>
    </row>
    <row r="528" spans="1:7" x14ac:dyDescent="0.3">
      <c r="A528" t="str">
        <f t="shared" si="26"/>
        <v>EL PEÑOL, GUATAPÉ</v>
      </c>
      <c r="B528" t="str">
        <f t="shared" si="27"/>
        <v>Finca Parcelación Alemania 1 El peñol, Guatapé</v>
      </c>
      <c r="E528" s="15"/>
      <c r="F528" s="15"/>
      <c r="G528" s="14">
        <v>45758</v>
      </c>
    </row>
    <row r="529" spans="1:7" x14ac:dyDescent="0.3">
      <c r="A529" t="str">
        <f t="shared" si="26"/>
        <v>EL PEÑOL, GUATAPÉ</v>
      </c>
      <c r="B529" t="str">
        <f t="shared" si="27"/>
        <v>Finca Parcelación Alemania 1 El peñol, Guatapé</v>
      </c>
      <c r="E529" s="15"/>
      <c r="F529" s="15"/>
      <c r="G529" s="14">
        <v>45759</v>
      </c>
    </row>
    <row r="530" spans="1:7" x14ac:dyDescent="0.3">
      <c r="A530" t="str">
        <f t="shared" si="26"/>
        <v>EL PEÑOL, GUATAPÉ</v>
      </c>
      <c r="B530" t="str">
        <f t="shared" si="27"/>
        <v>Finca Parcelación Alemania 1 El peñol, Guatapé</v>
      </c>
      <c r="E530" s="15"/>
      <c r="F530" s="15"/>
      <c r="G530" s="14">
        <v>45760</v>
      </c>
    </row>
    <row r="531" spans="1:7" x14ac:dyDescent="0.3">
      <c r="A531" t="str">
        <f t="shared" si="26"/>
        <v>EL PEÑOL, GUATAPÉ</v>
      </c>
      <c r="B531" t="str">
        <f t="shared" si="27"/>
        <v>Finca Parcelación Alemania 1 El peñol, Guatapé</v>
      </c>
      <c r="E531" s="15"/>
      <c r="F531" s="15"/>
      <c r="G531" s="14">
        <v>45761</v>
      </c>
    </row>
    <row r="532" spans="1:7" x14ac:dyDescent="0.3">
      <c r="A532" t="str">
        <f t="shared" si="26"/>
        <v>EL PEÑOL, GUATAPÉ</v>
      </c>
      <c r="B532" t="str">
        <f t="shared" si="27"/>
        <v>Finca Parcelación Alemania 1 El peñol, Guatapé</v>
      </c>
      <c r="E532" s="15"/>
      <c r="F532" s="15"/>
      <c r="G532" s="14">
        <v>45762</v>
      </c>
    </row>
    <row r="533" spans="1:7" x14ac:dyDescent="0.3">
      <c r="A533" t="str">
        <f t="shared" si="26"/>
        <v>EL PEÑOL, GUATAPÉ</v>
      </c>
      <c r="B533" t="str">
        <f t="shared" si="27"/>
        <v>Finca Parcelación Alemania 1 El peñol, Guatapé</v>
      </c>
      <c r="E533" s="15"/>
      <c r="F533" s="15"/>
      <c r="G533" s="14">
        <v>45763</v>
      </c>
    </row>
    <row r="534" spans="1:7" x14ac:dyDescent="0.3">
      <c r="A534" t="str">
        <f t="shared" si="26"/>
        <v>EL PEÑOL, GUATAPÉ</v>
      </c>
      <c r="B534" t="str">
        <f t="shared" si="27"/>
        <v>Finca Parcelación Alemania 1 El peñol, Guatapé</v>
      </c>
      <c r="E534" s="15"/>
      <c r="F534" s="15"/>
      <c r="G534" s="14">
        <v>45764</v>
      </c>
    </row>
    <row r="535" spans="1:7" x14ac:dyDescent="0.3">
      <c r="A535" t="str">
        <f t="shared" si="26"/>
        <v>EL PEÑOL, GUATAPÉ</v>
      </c>
      <c r="B535" t="str">
        <f t="shared" si="27"/>
        <v>Finca Parcelación Alemania 1 El peñol, Guatapé</v>
      </c>
      <c r="E535" s="15"/>
      <c r="F535" s="15"/>
      <c r="G535" s="14">
        <v>45765</v>
      </c>
    </row>
    <row r="536" spans="1:7" x14ac:dyDescent="0.3">
      <c r="A536" t="str">
        <f t="shared" si="26"/>
        <v>EL PEÑOL, GUATAPÉ</v>
      </c>
      <c r="B536" t="str">
        <f t="shared" si="27"/>
        <v>Finca Parcelación Alemania 1 El peñol, Guatapé</v>
      </c>
      <c r="E536" s="15"/>
      <c r="F536" s="15"/>
      <c r="G536" s="14">
        <v>45766</v>
      </c>
    </row>
    <row r="537" spans="1:7" x14ac:dyDescent="0.3">
      <c r="A537" t="str">
        <f t="shared" si="26"/>
        <v>EL PEÑOL, GUATAPÉ</v>
      </c>
      <c r="B537" t="str">
        <f t="shared" si="27"/>
        <v>Finca Parcelación Alemania 1 El peñol, Guatapé</v>
      </c>
      <c r="E537" s="15"/>
      <c r="F537" s="15"/>
      <c r="G537" s="14">
        <v>45767</v>
      </c>
    </row>
    <row r="538" spans="1:7" x14ac:dyDescent="0.3">
      <c r="A538" t="str">
        <f t="shared" si="26"/>
        <v>EL PEÑOL, GUATAPÉ</v>
      </c>
      <c r="B538" t="str">
        <f t="shared" si="27"/>
        <v>Finca Parcelación Alemania 1 El peñol, Guatapé</v>
      </c>
      <c r="E538" s="15"/>
      <c r="F538" s="15"/>
      <c r="G538" s="14">
        <v>45768</v>
      </c>
    </row>
    <row r="539" spans="1:7" x14ac:dyDescent="0.3">
      <c r="A539" t="str">
        <f t="shared" si="26"/>
        <v>EL PEÑOL, GUATAPÉ</v>
      </c>
      <c r="B539" t="str">
        <f t="shared" si="27"/>
        <v>Finca Parcelación Alemania 1 El peñol, Guatapé</v>
      </c>
      <c r="E539" s="15"/>
      <c r="F539" s="15"/>
      <c r="G539" s="14">
        <v>45769</v>
      </c>
    </row>
    <row r="540" spans="1:7" x14ac:dyDescent="0.3">
      <c r="A540" t="str">
        <f t="shared" si="26"/>
        <v>EL PEÑOL, GUATAPÉ</v>
      </c>
      <c r="B540" t="str">
        <f t="shared" si="27"/>
        <v>Finca Parcelación Alemania 1 El peñol, Guatapé</v>
      </c>
      <c r="E540" s="15"/>
      <c r="F540" s="15"/>
      <c r="G540" s="14">
        <v>45770</v>
      </c>
    </row>
    <row r="541" spans="1:7" x14ac:dyDescent="0.3">
      <c r="A541" t="str">
        <f t="shared" si="26"/>
        <v>EL PEÑOL, GUATAPÉ</v>
      </c>
      <c r="B541" t="str">
        <f t="shared" si="27"/>
        <v>Finca Parcelación Alemania 1 El peñol, Guatapé</v>
      </c>
      <c r="E541" s="15"/>
      <c r="F541" s="15"/>
      <c r="G541" s="14">
        <v>45771</v>
      </c>
    </row>
    <row r="542" spans="1:7" x14ac:dyDescent="0.3">
      <c r="A542" t="str">
        <f t="shared" si="26"/>
        <v>EL PEÑOL, GUATAPÉ</v>
      </c>
      <c r="B542" t="str">
        <f t="shared" si="27"/>
        <v>Finca Parcelación Alemania 1 El peñol, Guatapé</v>
      </c>
      <c r="E542" s="15"/>
      <c r="F542" s="15"/>
      <c r="G542" s="14">
        <v>45772</v>
      </c>
    </row>
    <row r="543" spans="1:7" x14ac:dyDescent="0.3">
      <c r="A543" t="str">
        <f t="shared" si="26"/>
        <v>EL PEÑOL, GUATAPÉ</v>
      </c>
      <c r="B543" t="str">
        <f t="shared" si="27"/>
        <v>Finca Parcelación Alemania 1 El peñol, Guatapé</v>
      </c>
      <c r="E543" s="15"/>
      <c r="F543" s="15"/>
      <c r="G543" s="14">
        <v>45773</v>
      </c>
    </row>
    <row r="544" spans="1:7" x14ac:dyDescent="0.3">
      <c r="A544" t="str">
        <f t="shared" si="26"/>
        <v>EL PEÑOL, GUATAPÉ</v>
      </c>
      <c r="B544" t="str">
        <f t="shared" si="27"/>
        <v>Finca Parcelación Alemania 1 El peñol, Guatapé</v>
      </c>
      <c r="E544" s="15"/>
      <c r="F544" s="15"/>
      <c r="G544" s="14">
        <v>45774</v>
      </c>
    </row>
    <row r="545" spans="1:7" x14ac:dyDescent="0.3">
      <c r="A545" t="str">
        <f t="shared" si="26"/>
        <v>EL PEÑOL, GUATAPÉ</v>
      </c>
      <c r="B545" t="str">
        <f t="shared" si="27"/>
        <v>Finca Parcelación Alemania 1 El peñol, Guatapé</v>
      </c>
      <c r="E545" s="15"/>
      <c r="F545" s="15"/>
      <c r="G545" s="14">
        <v>45775</v>
      </c>
    </row>
    <row r="546" spans="1:7" x14ac:dyDescent="0.3">
      <c r="A546" t="str">
        <f t="shared" si="26"/>
        <v>EL PEÑOL, GUATAPÉ</v>
      </c>
      <c r="B546" t="str">
        <f t="shared" si="27"/>
        <v>Finca Parcelación Alemania 1 El peñol, Guatapé</v>
      </c>
      <c r="E546" s="15"/>
      <c r="F546" s="15"/>
      <c r="G546" s="14">
        <v>45776</v>
      </c>
    </row>
    <row r="547" spans="1:7" x14ac:dyDescent="0.3">
      <c r="A547" t="str">
        <f t="shared" si="26"/>
        <v>EL PEÑOL, GUATAPÉ</v>
      </c>
      <c r="B547" t="str">
        <f t="shared" si="27"/>
        <v>Finca Parcelación Alemania 1 El peñol, Guatapé</v>
      </c>
      <c r="E547" s="15"/>
      <c r="F547" s="15"/>
      <c r="G547" s="14">
        <v>45777</v>
      </c>
    </row>
    <row r="548" spans="1:7" x14ac:dyDescent="0.3">
      <c r="A548" t="s">
        <v>8</v>
      </c>
      <c r="B548" t="s">
        <v>91</v>
      </c>
      <c r="E548" s="15"/>
      <c r="F548" s="15"/>
      <c r="G548" s="14">
        <v>45736</v>
      </c>
    </row>
    <row r="549" spans="1:7" x14ac:dyDescent="0.3">
      <c r="A549" t="str">
        <f t="shared" ref="A549:A580" si="28">+A548</f>
        <v>EL PEÑOL, GUATAPÉ</v>
      </c>
      <c r="B549" t="str">
        <f t="shared" ref="B549:B580" si="29">+B548</f>
        <v>Finca la Marina el peñol,Guatapé</v>
      </c>
      <c r="E549" s="15"/>
      <c r="F549" s="15"/>
      <c r="G549" s="14">
        <v>45737</v>
      </c>
    </row>
    <row r="550" spans="1:7" x14ac:dyDescent="0.3">
      <c r="A550" t="str">
        <f t="shared" si="28"/>
        <v>EL PEÑOL, GUATAPÉ</v>
      </c>
      <c r="B550" t="str">
        <f t="shared" si="29"/>
        <v>Finca la Marina el peñol,Guatapé</v>
      </c>
      <c r="E550" s="15"/>
      <c r="F550" s="15"/>
      <c r="G550" s="14">
        <v>45738</v>
      </c>
    </row>
    <row r="551" spans="1:7" x14ac:dyDescent="0.3">
      <c r="A551" t="str">
        <f t="shared" si="28"/>
        <v>EL PEÑOL, GUATAPÉ</v>
      </c>
      <c r="B551" t="str">
        <f t="shared" si="29"/>
        <v>Finca la Marina el peñol,Guatapé</v>
      </c>
      <c r="E551" s="15"/>
      <c r="F551" s="15"/>
      <c r="G551" s="14">
        <v>45739</v>
      </c>
    </row>
    <row r="552" spans="1:7" x14ac:dyDescent="0.3">
      <c r="A552" t="str">
        <f t="shared" si="28"/>
        <v>EL PEÑOL, GUATAPÉ</v>
      </c>
      <c r="B552" t="str">
        <f t="shared" si="29"/>
        <v>Finca la Marina el peñol,Guatapé</v>
      </c>
      <c r="E552" s="15"/>
      <c r="F552" s="15"/>
      <c r="G552" s="14">
        <v>45740</v>
      </c>
    </row>
    <row r="553" spans="1:7" x14ac:dyDescent="0.3">
      <c r="A553" t="str">
        <f t="shared" si="28"/>
        <v>EL PEÑOL, GUATAPÉ</v>
      </c>
      <c r="B553" t="str">
        <f t="shared" si="29"/>
        <v>Finca la Marina el peñol,Guatapé</v>
      </c>
      <c r="E553" s="15"/>
      <c r="F553" s="15"/>
      <c r="G553" s="14">
        <v>45741</v>
      </c>
    </row>
    <row r="554" spans="1:7" x14ac:dyDescent="0.3">
      <c r="A554" t="str">
        <f t="shared" si="28"/>
        <v>EL PEÑOL, GUATAPÉ</v>
      </c>
      <c r="B554" t="str">
        <f t="shared" si="29"/>
        <v>Finca la Marina el peñol,Guatapé</v>
      </c>
      <c r="E554" s="15"/>
      <c r="F554" s="15"/>
      <c r="G554" s="14">
        <v>45742</v>
      </c>
    </row>
    <row r="555" spans="1:7" x14ac:dyDescent="0.3">
      <c r="A555" t="str">
        <f t="shared" si="28"/>
        <v>EL PEÑOL, GUATAPÉ</v>
      </c>
      <c r="B555" t="str">
        <f t="shared" si="29"/>
        <v>Finca la Marina el peñol,Guatapé</v>
      </c>
      <c r="E555" s="15"/>
      <c r="F555" s="15"/>
      <c r="G555" s="14">
        <v>45743</v>
      </c>
    </row>
    <row r="556" spans="1:7" x14ac:dyDescent="0.3">
      <c r="A556" t="str">
        <f t="shared" si="28"/>
        <v>EL PEÑOL, GUATAPÉ</v>
      </c>
      <c r="B556" t="str">
        <f t="shared" si="29"/>
        <v>Finca la Marina el peñol,Guatapé</v>
      </c>
      <c r="E556" s="15"/>
      <c r="F556" s="15"/>
      <c r="G556" s="14">
        <v>45744</v>
      </c>
    </row>
    <row r="557" spans="1:7" x14ac:dyDescent="0.3">
      <c r="A557" t="str">
        <f t="shared" si="28"/>
        <v>EL PEÑOL, GUATAPÉ</v>
      </c>
      <c r="B557" t="str">
        <f t="shared" si="29"/>
        <v>Finca la Marina el peñol,Guatapé</v>
      </c>
      <c r="E557" s="15"/>
      <c r="F557" s="15"/>
      <c r="G557" s="14">
        <v>45745</v>
      </c>
    </row>
    <row r="558" spans="1:7" x14ac:dyDescent="0.3">
      <c r="A558" t="str">
        <f t="shared" si="28"/>
        <v>EL PEÑOL, GUATAPÉ</v>
      </c>
      <c r="B558" t="str">
        <f t="shared" si="29"/>
        <v>Finca la Marina el peñol,Guatapé</v>
      </c>
      <c r="E558" s="15"/>
      <c r="F558" s="15"/>
      <c r="G558" s="14">
        <v>45746</v>
      </c>
    </row>
    <row r="559" spans="1:7" x14ac:dyDescent="0.3">
      <c r="A559" t="str">
        <f t="shared" si="28"/>
        <v>EL PEÑOL, GUATAPÉ</v>
      </c>
      <c r="B559" t="str">
        <f t="shared" si="29"/>
        <v>Finca la Marina el peñol,Guatapé</v>
      </c>
      <c r="E559" s="15"/>
      <c r="F559" s="15"/>
      <c r="G559" s="14">
        <v>45747</v>
      </c>
    </row>
    <row r="560" spans="1:7" x14ac:dyDescent="0.3">
      <c r="A560" t="str">
        <f t="shared" si="28"/>
        <v>EL PEÑOL, GUATAPÉ</v>
      </c>
      <c r="B560" t="str">
        <f t="shared" si="29"/>
        <v>Finca la Marina el peñol,Guatapé</v>
      </c>
      <c r="E560" s="15"/>
      <c r="F560" s="15"/>
      <c r="G560" s="14">
        <v>45748</v>
      </c>
    </row>
    <row r="561" spans="1:7" x14ac:dyDescent="0.3">
      <c r="A561" t="str">
        <f t="shared" si="28"/>
        <v>EL PEÑOL, GUATAPÉ</v>
      </c>
      <c r="B561" t="str">
        <f t="shared" si="29"/>
        <v>Finca la Marina el peñol,Guatapé</v>
      </c>
      <c r="E561" s="15"/>
      <c r="F561" s="15"/>
      <c r="G561" s="14">
        <v>45749</v>
      </c>
    </row>
    <row r="562" spans="1:7" x14ac:dyDescent="0.3">
      <c r="A562" t="str">
        <f t="shared" si="28"/>
        <v>EL PEÑOL, GUATAPÉ</v>
      </c>
      <c r="B562" t="str">
        <f t="shared" si="29"/>
        <v>Finca la Marina el peñol,Guatapé</v>
      </c>
      <c r="E562" s="15"/>
      <c r="F562" s="15"/>
      <c r="G562" s="14">
        <v>45750</v>
      </c>
    </row>
    <row r="563" spans="1:7" x14ac:dyDescent="0.3">
      <c r="A563" t="str">
        <f t="shared" si="28"/>
        <v>EL PEÑOL, GUATAPÉ</v>
      </c>
      <c r="B563" t="str">
        <f t="shared" si="29"/>
        <v>Finca la Marina el peñol,Guatapé</v>
      </c>
      <c r="E563" s="15"/>
      <c r="F563" s="15"/>
      <c r="G563" s="14">
        <v>45751</v>
      </c>
    </row>
    <row r="564" spans="1:7" x14ac:dyDescent="0.3">
      <c r="A564" t="str">
        <f t="shared" si="28"/>
        <v>EL PEÑOL, GUATAPÉ</v>
      </c>
      <c r="B564" t="str">
        <f t="shared" si="29"/>
        <v>Finca la Marina el peñol,Guatapé</v>
      </c>
      <c r="E564" s="15"/>
      <c r="F564" s="15"/>
      <c r="G564" s="14">
        <v>45752</v>
      </c>
    </row>
    <row r="565" spans="1:7" x14ac:dyDescent="0.3">
      <c r="A565" t="str">
        <f t="shared" si="28"/>
        <v>EL PEÑOL, GUATAPÉ</v>
      </c>
      <c r="B565" t="str">
        <f t="shared" si="29"/>
        <v>Finca la Marina el peñol,Guatapé</v>
      </c>
      <c r="E565" s="15"/>
      <c r="F565" s="15"/>
      <c r="G565" s="14">
        <v>45753</v>
      </c>
    </row>
    <row r="566" spans="1:7" x14ac:dyDescent="0.3">
      <c r="A566" t="str">
        <f t="shared" si="28"/>
        <v>EL PEÑOL, GUATAPÉ</v>
      </c>
      <c r="B566" t="str">
        <f t="shared" si="29"/>
        <v>Finca la Marina el peñol,Guatapé</v>
      </c>
      <c r="E566" s="15"/>
      <c r="F566" s="15"/>
      <c r="G566" s="14">
        <v>45754</v>
      </c>
    </row>
    <row r="567" spans="1:7" x14ac:dyDescent="0.3">
      <c r="A567" t="str">
        <f t="shared" si="28"/>
        <v>EL PEÑOL, GUATAPÉ</v>
      </c>
      <c r="B567" t="str">
        <f t="shared" si="29"/>
        <v>Finca la Marina el peñol,Guatapé</v>
      </c>
      <c r="E567" s="15"/>
      <c r="F567" s="15"/>
      <c r="G567" s="14">
        <v>45755</v>
      </c>
    </row>
    <row r="568" spans="1:7" x14ac:dyDescent="0.3">
      <c r="A568" t="str">
        <f t="shared" si="28"/>
        <v>EL PEÑOL, GUATAPÉ</v>
      </c>
      <c r="B568" t="str">
        <f t="shared" si="29"/>
        <v>Finca la Marina el peñol,Guatapé</v>
      </c>
      <c r="E568" s="15"/>
      <c r="F568" s="15"/>
      <c r="G568" s="14">
        <v>45756</v>
      </c>
    </row>
    <row r="569" spans="1:7" x14ac:dyDescent="0.3">
      <c r="A569" t="str">
        <f t="shared" si="28"/>
        <v>EL PEÑOL, GUATAPÉ</v>
      </c>
      <c r="B569" t="str">
        <f t="shared" si="29"/>
        <v>Finca la Marina el peñol,Guatapé</v>
      </c>
      <c r="E569" s="15"/>
      <c r="F569" s="15"/>
      <c r="G569" s="14">
        <v>45757</v>
      </c>
    </row>
    <row r="570" spans="1:7" x14ac:dyDescent="0.3">
      <c r="A570" t="str">
        <f t="shared" si="28"/>
        <v>EL PEÑOL, GUATAPÉ</v>
      </c>
      <c r="B570" t="str">
        <f t="shared" si="29"/>
        <v>Finca la Marina el peñol,Guatapé</v>
      </c>
      <c r="E570" s="15"/>
      <c r="F570" s="15"/>
      <c r="G570" s="14">
        <v>45758</v>
      </c>
    </row>
    <row r="571" spans="1:7" x14ac:dyDescent="0.3">
      <c r="A571" t="str">
        <f t="shared" si="28"/>
        <v>EL PEÑOL, GUATAPÉ</v>
      </c>
      <c r="B571" t="str">
        <f t="shared" si="29"/>
        <v>Finca la Marina el peñol,Guatapé</v>
      </c>
      <c r="E571" s="15"/>
      <c r="F571" s="15"/>
      <c r="G571" s="14">
        <v>45759</v>
      </c>
    </row>
    <row r="572" spans="1:7" x14ac:dyDescent="0.3">
      <c r="A572" t="str">
        <f t="shared" si="28"/>
        <v>EL PEÑOL, GUATAPÉ</v>
      </c>
      <c r="B572" t="str">
        <f t="shared" si="29"/>
        <v>Finca la Marina el peñol,Guatapé</v>
      </c>
      <c r="E572" s="15"/>
      <c r="F572" s="15"/>
      <c r="G572" s="14">
        <v>45760</v>
      </c>
    </row>
    <row r="573" spans="1:7" x14ac:dyDescent="0.3">
      <c r="A573" t="str">
        <f t="shared" si="28"/>
        <v>EL PEÑOL, GUATAPÉ</v>
      </c>
      <c r="B573" t="str">
        <f t="shared" si="29"/>
        <v>Finca la Marina el peñol,Guatapé</v>
      </c>
      <c r="E573" s="15"/>
      <c r="F573" s="15"/>
      <c r="G573" s="14">
        <v>45761</v>
      </c>
    </row>
    <row r="574" spans="1:7" x14ac:dyDescent="0.3">
      <c r="A574" t="str">
        <f t="shared" si="28"/>
        <v>EL PEÑOL, GUATAPÉ</v>
      </c>
      <c r="B574" t="str">
        <f t="shared" si="29"/>
        <v>Finca la Marina el peñol,Guatapé</v>
      </c>
      <c r="E574" s="15"/>
      <c r="F574" s="15"/>
      <c r="G574" s="14">
        <v>45762</v>
      </c>
    </row>
    <row r="575" spans="1:7" x14ac:dyDescent="0.3">
      <c r="A575" t="str">
        <f t="shared" si="28"/>
        <v>EL PEÑOL, GUATAPÉ</v>
      </c>
      <c r="B575" t="str">
        <f t="shared" si="29"/>
        <v>Finca la Marina el peñol,Guatapé</v>
      </c>
      <c r="E575" s="15"/>
      <c r="F575" s="15"/>
      <c r="G575" s="14">
        <v>45763</v>
      </c>
    </row>
    <row r="576" spans="1:7" x14ac:dyDescent="0.3">
      <c r="A576" t="str">
        <f t="shared" si="28"/>
        <v>EL PEÑOL, GUATAPÉ</v>
      </c>
      <c r="B576" t="str">
        <f t="shared" si="29"/>
        <v>Finca la Marina el peñol,Guatapé</v>
      </c>
      <c r="E576" s="15"/>
      <c r="F576" s="15"/>
      <c r="G576" s="14">
        <v>45764</v>
      </c>
    </row>
    <row r="577" spans="1:7" x14ac:dyDescent="0.3">
      <c r="A577" t="str">
        <f t="shared" si="28"/>
        <v>EL PEÑOL, GUATAPÉ</v>
      </c>
      <c r="B577" t="str">
        <f t="shared" si="29"/>
        <v>Finca la Marina el peñol,Guatapé</v>
      </c>
      <c r="E577" s="15"/>
      <c r="F577" s="15"/>
      <c r="G577" s="14">
        <v>45765</v>
      </c>
    </row>
    <row r="578" spans="1:7" x14ac:dyDescent="0.3">
      <c r="A578" t="str">
        <f t="shared" si="28"/>
        <v>EL PEÑOL, GUATAPÉ</v>
      </c>
      <c r="B578" t="str">
        <f t="shared" si="29"/>
        <v>Finca la Marina el peñol,Guatapé</v>
      </c>
      <c r="E578" s="15"/>
      <c r="F578" s="15"/>
      <c r="G578" s="14">
        <v>45766</v>
      </c>
    </row>
    <row r="579" spans="1:7" x14ac:dyDescent="0.3">
      <c r="A579" t="str">
        <f t="shared" si="28"/>
        <v>EL PEÑOL, GUATAPÉ</v>
      </c>
      <c r="B579" t="str">
        <f t="shared" si="29"/>
        <v>Finca la Marina el peñol,Guatapé</v>
      </c>
      <c r="E579" s="15"/>
      <c r="F579" s="15"/>
      <c r="G579" s="14">
        <v>45767</v>
      </c>
    </row>
    <row r="580" spans="1:7" x14ac:dyDescent="0.3">
      <c r="A580" t="str">
        <f t="shared" si="28"/>
        <v>EL PEÑOL, GUATAPÉ</v>
      </c>
      <c r="B580" t="str">
        <f t="shared" si="29"/>
        <v>Finca la Marina el peñol,Guatapé</v>
      </c>
      <c r="E580" s="15"/>
      <c r="F580" s="15"/>
      <c r="G580" s="14">
        <v>45768</v>
      </c>
    </row>
    <row r="581" spans="1:7" x14ac:dyDescent="0.3">
      <c r="A581" t="str">
        <f t="shared" ref="A581:A612" si="30">+A580</f>
        <v>EL PEÑOL, GUATAPÉ</v>
      </c>
      <c r="B581" t="str">
        <f t="shared" ref="B581:B612" si="31">+B580</f>
        <v>Finca la Marina el peñol,Guatapé</v>
      </c>
      <c r="E581" s="15"/>
      <c r="F581" s="15"/>
      <c r="G581" s="14">
        <v>45769</v>
      </c>
    </row>
    <row r="582" spans="1:7" x14ac:dyDescent="0.3">
      <c r="A582" t="str">
        <f t="shared" si="30"/>
        <v>EL PEÑOL, GUATAPÉ</v>
      </c>
      <c r="B582" t="str">
        <f t="shared" si="31"/>
        <v>Finca la Marina el peñol,Guatapé</v>
      </c>
      <c r="E582" s="15"/>
      <c r="F582" s="15"/>
      <c r="G582" s="14">
        <v>45770</v>
      </c>
    </row>
    <row r="583" spans="1:7" x14ac:dyDescent="0.3">
      <c r="A583" t="str">
        <f t="shared" si="30"/>
        <v>EL PEÑOL, GUATAPÉ</v>
      </c>
      <c r="B583" t="str">
        <f t="shared" si="31"/>
        <v>Finca la Marina el peñol,Guatapé</v>
      </c>
      <c r="E583" s="15"/>
      <c r="F583" s="15"/>
      <c r="G583" s="14">
        <v>45771</v>
      </c>
    </row>
    <row r="584" spans="1:7" x14ac:dyDescent="0.3">
      <c r="A584" t="str">
        <f t="shared" si="30"/>
        <v>EL PEÑOL, GUATAPÉ</v>
      </c>
      <c r="B584" t="str">
        <f t="shared" si="31"/>
        <v>Finca la Marina el peñol,Guatapé</v>
      </c>
      <c r="E584" s="15"/>
      <c r="F584" s="15"/>
      <c r="G584" s="14">
        <v>45772</v>
      </c>
    </row>
    <row r="585" spans="1:7" x14ac:dyDescent="0.3">
      <c r="A585" t="str">
        <f t="shared" si="30"/>
        <v>EL PEÑOL, GUATAPÉ</v>
      </c>
      <c r="B585" t="str">
        <f t="shared" si="31"/>
        <v>Finca la Marina el peñol,Guatapé</v>
      </c>
      <c r="E585" s="15"/>
      <c r="F585" s="15"/>
      <c r="G585" s="14">
        <v>45773</v>
      </c>
    </row>
    <row r="586" spans="1:7" x14ac:dyDescent="0.3">
      <c r="A586" t="str">
        <f t="shared" si="30"/>
        <v>EL PEÑOL, GUATAPÉ</v>
      </c>
      <c r="B586" t="str">
        <f t="shared" si="31"/>
        <v>Finca la Marina el peñol,Guatapé</v>
      </c>
      <c r="E586" s="15"/>
      <c r="F586" s="15"/>
      <c r="G586" s="14">
        <v>45774</v>
      </c>
    </row>
    <row r="587" spans="1:7" x14ac:dyDescent="0.3">
      <c r="A587" t="str">
        <f t="shared" si="30"/>
        <v>EL PEÑOL, GUATAPÉ</v>
      </c>
      <c r="B587" t="str">
        <f t="shared" si="31"/>
        <v>Finca la Marina el peñol,Guatapé</v>
      </c>
      <c r="E587" s="15"/>
      <c r="F587" s="15"/>
      <c r="G587" s="14">
        <v>45775</v>
      </c>
    </row>
    <row r="588" spans="1:7" x14ac:dyDescent="0.3">
      <c r="A588" t="str">
        <f t="shared" si="30"/>
        <v>EL PEÑOL, GUATAPÉ</v>
      </c>
      <c r="B588" t="str">
        <f t="shared" si="31"/>
        <v>Finca la Marina el peñol,Guatapé</v>
      </c>
      <c r="E588" s="15"/>
      <c r="F588" s="15"/>
      <c r="G588" s="14">
        <v>45776</v>
      </c>
    </row>
    <row r="589" spans="1:7" x14ac:dyDescent="0.3">
      <c r="A589" t="str">
        <f t="shared" si="30"/>
        <v>EL PEÑOL, GUATAPÉ</v>
      </c>
      <c r="B589" t="str">
        <f t="shared" si="31"/>
        <v>Finca la Marina el peñol,Guatapé</v>
      </c>
      <c r="E589" s="15"/>
      <c r="F589" s="15"/>
      <c r="G589" s="14">
        <v>45777</v>
      </c>
    </row>
    <row r="590" spans="1:7" ht="15" customHeight="1" x14ac:dyDescent="0.3">
      <c r="A590" t="str">
        <f t="shared" si="30"/>
        <v>EL PEÑOL, GUATAPÉ</v>
      </c>
      <c r="B590" t="str">
        <f t="shared" si="31"/>
        <v>Finca la Marina el peñol,Guatapé</v>
      </c>
      <c r="E590" s="15"/>
      <c r="F590" s="15"/>
      <c r="G590" s="14">
        <v>45736</v>
      </c>
    </row>
    <row r="591" spans="1:7" ht="15" customHeight="1" x14ac:dyDescent="0.3">
      <c r="A591" t="str">
        <f t="shared" si="30"/>
        <v>EL PEÑOL, GUATAPÉ</v>
      </c>
      <c r="B591" t="str">
        <f t="shared" si="31"/>
        <v>Finca la Marina el peñol,Guatapé</v>
      </c>
      <c r="E591" s="15"/>
      <c r="F591" s="15"/>
      <c r="G591" s="14">
        <v>45737</v>
      </c>
    </row>
    <row r="592" spans="1:7" ht="15" customHeight="1" x14ac:dyDescent="0.3">
      <c r="A592" t="str">
        <f t="shared" si="30"/>
        <v>EL PEÑOL, GUATAPÉ</v>
      </c>
      <c r="B592" t="str">
        <f t="shared" si="31"/>
        <v>Finca la Marina el peñol,Guatapé</v>
      </c>
      <c r="E592" s="15"/>
      <c r="F592" s="15"/>
      <c r="G592" s="14">
        <v>45738</v>
      </c>
    </row>
    <row r="593" spans="1:7" ht="15" customHeight="1" x14ac:dyDescent="0.3">
      <c r="A593" t="str">
        <f t="shared" si="30"/>
        <v>EL PEÑOL, GUATAPÉ</v>
      </c>
      <c r="B593" t="str">
        <f t="shared" si="31"/>
        <v>Finca la Marina el peñol,Guatapé</v>
      </c>
      <c r="E593" s="15"/>
      <c r="F593" s="15"/>
      <c r="G593" s="14">
        <v>45739</v>
      </c>
    </row>
    <row r="594" spans="1:7" ht="15" customHeight="1" x14ac:dyDescent="0.3">
      <c r="A594" t="str">
        <f t="shared" si="30"/>
        <v>EL PEÑOL, GUATAPÉ</v>
      </c>
      <c r="B594" t="str">
        <f t="shared" si="31"/>
        <v>Finca la Marina el peñol,Guatapé</v>
      </c>
      <c r="E594" s="15"/>
      <c r="F594" s="15"/>
      <c r="G594" s="14">
        <v>45740</v>
      </c>
    </row>
    <row r="595" spans="1:7" ht="15" customHeight="1" x14ac:dyDescent="0.3">
      <c r="A595" t="str">
        <f t="shared" si="30"/>
        <v>EL PEÑOL, GUATAPÉ</v>
      </c>
      <c r="B595" t="str">
        <f t="shared" si="31"/>
        <v>Finca la Marina el peñol,Guatapé</v>
      </c>
      <c r="E595" s="15"/>
      <c r="F595" s="15"/>
      <c r="G595" s="14">
        <v>45741</v>
      </c>
    </row>
    <row r="596" spans="1:7" ht="15" customHeight="1" x14ac:dyDescent="0.3">
      <c r="A596" t="str">
        <f t="shared" si="30"/>
        <v>EL PEÑOL, GUATAPÉ</v>
      </c>
      <c r="B596" t="str">
        <f t="shared" si="31"/>
        <v>Finca la Marina el peñol,Guatapé</v>
      </c>
      <c r="E596" s="15"/>
      <c r="F596" s="15"/>
      <c r="G596" s="14">
        <v>45742</v>
      </c>
    </row>
    <row r="597" spans="1:7" ht="15" customHeight="1" x14ac:dyDescent="0.3">
      <c r="A597" t="str">
        <f t="shared" si="30"/>
        <v>EL PEÑOL, GUATAPÉ</v>
      </c>
      <c r="B597" t="str">
        <f t="shared" si="31"/>
        <v>Finca la Marina el peñol,Guatapé</v>
      </c>
      <c r="E597" s="15"/>
      <c r="F597" s="15"/>
      <c r="G597" s="14">
        <v>45743</v>
      </c>
    </row>
    <row r="598" spans="1:7" ht="15" customHeight="1" x14ac:dyDescent="0.3">
      <c r="A598" t="str">
        <f t="shared" si="30"/>
        <v>EL PEÑOL, GUATAPÉ</v>
      </c>
      <c r="B598" t="str">
        <f t="shared" si="31"/>
        <v>Finca la Marina el peñol,Guatapé</v>
      </c>
      <c r="E598" s="15"/>
      <c r="F598" s="15"/>
      <c r="G598" s="14">
        <v>45744</v>
      </c>
    </row>
    <row r="599" spans="1:7" ht="15" customHeight="1" x14ac:dyDescent="0.3">
      <c r="A599" t="str">
        <f t="shared" si="30"/>
        <v>EL PEÑOL, GUATAPÉ</v>
      </c>
      <c r="B599" t="str">
        <f t="shared" si="31"/>
        <v>Finca la Marina el peñol,Guatapé</v>
      </c>
      <c r="E599" s="15"/>
      <c r="F599" s="15"/>
      <c r="G599" s="14">
        <v>45745</v>
      </c>
    </row>
    <row r="600" spans="1:7" ht="15" customHeight="1" x14ac:dyDescent="0.3">
      <c r="A600" t="str">
        <f t="shared" si="30"/>
        <v>EL PEÑOL, GUATAPÉ</v>
      </c>
      <c r="B600" t="str">
        <f t="shared" si="31"/>
        <v>Finca la Marina el peñol,Guatapé</v>
      </c>
      <c r="E600" s="15"/>
      <c r="F600" s="15"/>
      <c r="G600" s="14">
        <v>45746</v>
      </c>
    </row>
    <row r="601" spans="1:7" ht="15" customHeight="1" x14ac:dyDescent="0.3">
      <c r="A601" t="str">
        <f t="shared" si="30"/>
        <v>EL PEÑOL, GUATAPÉ</v>
      </c>
      <c r="B601" t="str">
        <f t="shared" si="31"/>
        <v>Finca la Marina el peñol,Guatapé</v>
      </c>
      <c r="E601" s="15"/>
      <c r="F601" s="15"/>
      <c r="G601" s="14">
        <v>45747</v>
      </c>
    </row>
    <row r="602" spans="1:7" ht="15" customHeight="1" x14ac:dyDescent="0.3">
      <c r="A602" t="str">
        <f t="shared" si="30"/>
        <v>EL PEÑOL, GUATAPÉ</v>
      </c>
      <c r="B602" t="str">
        <f t="shared" si="31"/>
        <v>Finca la Marina el peñol,Guatapé</v>
      </c>
      <c r="E602" s="15"/>
      <c r="F602" s="15"/>
      <c r="G602" s="14">
        <v>45748</v>
      </c>
    </row>
    <row r="603" spans="1:7" ht="15" customHeight="1" x14ac:dyDescent="0.3">
      <c r="A603" t="str">
        <f t="shared" si="30"/>
        <v>EL PEÑOL, GUATAPÉ</v>
      </c>
      <c r="B603" t="str">
        <f t="shared" si="31"/>
        <v>Finca la Marina el peñol,Guatapé</v>
      </c>
      <c r="E603" s="15"/>
      <c r="F603" s="15"/>
      <c r="G603" s="14">
        <v>45749</v>
      </c>
    </row>
    <row r="604" spans="1:7" ht="15" customHeight="1" x14ac:dyDescent="0.3">
      <c r="A604" t="str">
        <f t="shared" si="30"/>
        <v>EL PEÑOL, GUATAPÉ</v>
      </c>
      <c r="B604" t="str">
        <f t="shared" si="31"/>
        <v>Finca la Marina el peñol,Guatapé</v>
      </c>
      <c r="E604" s="15"/>
      <c r="F604" s="15"/>
      <c r="G604" s="14">
        <v>45750</v>
      </c>
    </row>
    <row r="605" spans="1:7" ht="15" customHeight="1" x14ac:dyDescent="0.3">
      <c r="A605" t="str">
        <f t="shared" si="30"/>
        <v>EL PEÑOL, GUATAPÉ</v>
      </c>
      <c r="B605" t="str">
        <f t="shared" si="31"/>
        <v>Finca la Marina el peñol,Guatapé</v>
      </c>
      <c r="E605" s="15"/>
      <c r="F605" s="15"/>
      <c r="G605" s="14">
        <v>45751</v>
      </c>
    </row>
    <row r="606" spans="1:7" ht="15" customHeight="1" x14ac:dyDescent="0.3">
      <c r="A606" t="str">
        <f t="shared" si="30"/>
        <v>EL PEÑOL, GUATAPÉ</v>
      </c>
      <c r="B606" t="str">
        <f t="shared" si="31"/>
        <v>Finca la Marina el peñol,Guatapé</v>
      </c>
      <c r="E606" s="15"/>
      <c r="F606" s="15"/>
      <c r="G606" s="14">
        <v>45752</v>
      </c>
    </row>
    <row r="607" spans="1:7" ht="15" customHeight="1" x14ac:dyDescent="0.3">
      <c r="A607" t="str">
        <f t="shared" si="30"/>
        <v>EL PEÑOL, GUATAPÉ</v>
      </c>
      <c r="B607" t="str">
        <f t="shared" si="31"/>
        <v>Finca la Marina el peñol,Guatapé</v>
      </c>
      <c r="E607" s="15"/>
      <c r="F607" s="15"/>
      <c r="G607" s="14">
        <v>45753</v>
      </c>
    </row>
    <row r="608" spans="1:7" ht="15" customHeight="1" x14ac:dyDescent="0.3">
      <c r="A608" t="str">
        <f t="shared" si="30"/>
        <v>EL PEÑOL, GUATAPÉ</v>
      </c>
      <c r="B608" t="str">
        <f t="shared" si="31"/>
        <v>Finca la Marina el peñol,Guatapé</v>
      </c>
      <c r="E608" s="15"/>
      <c r="F608" s="15"/>
      <c r="G608" s="14">
        <v>45754</v>
      </c>
    </row>
    <row r="609" spans="1:7" ht="15" customHeight="1" x14ac:dyDescent="0.3">
      <c r="A609" t="str">
        <f t="shared" si="30"/>
        <v>EL PEÑOL, GUATAPÉ</v>
      </c>
      <c r="B609" t="str">
        <f t="shared" si="31"/>
        <v>Finca la Marina el peñol,Guatapé</v>
      </c>
      <c r="E609" s="15"/>
      <c r="F609" s="15"/>
      <c r="G609" s="14">
        <v>45755</v>
      </c>
    </row>
    <row r="610" spans="1:7" ht="15" customHeight="1" x14ac:dyDescent="0.3">
      <c r="A610" t="str">
        <f t="shared" si="30"/>
        <v>EL PEÑOL, GUATAPÉ</v>
      </c>
      <c r="B610" t="str">
        <f t="shared" si="31"/>
        <v>Finca la Marina el peñol,Guatapé</v>
      </c>
      <c r="E610" s="15"/>
      <c r="F610" s="15"/>
      <c r="G610" s="14">
        <v>45756</v>
      </c>
    </row>
    <row r="611" spans="1:7" ht="15" customHeight="1" x14ac:dyDescent="0.3">
      <c r="A611" t="str">
        <f t="shared" si="30"/>
        <v>EL PEÑOL, GUATAPÉ</v>
      </c>
      <c r="B611" t="str">
        <f t="shared" si="31"/>
        <v>Finca la Marina el peñol,Guatapé</v>
      </c>
      <c r="E611" s="15"/>
      <c r="F611" s="15"/>
      <c r="G611" s="14">
        <v>45757</v>
      </c>
    </row>
    <row r="612" spans="1:7" ht="15" customHeight="1" x14ac:dyDescent="0.3">
      <c r="A612" t="str">
        <f t="shared" si="30"/>
        <v>EL PEÑOL, GUATAPÉ</v>
      </c>
      <c r="B612" t="str">
        <f t="shared" si="31"/>
        <v>Finca la Marina el peñol,Guatapé</v>
      </c>
      <c r="E612" s="15"/>
      <c r="F612" s="15"/>
      <c r="G612" s="14">
        <v>45758</v>
      </c>
    </row>
    <row r="613" spans="1:7" ht="15" customHeight="1" x14ac:dyDescent="0.3">
      <c r="A613" t="str">
        <f t="shared" ref="A613:A631" si="32">+A612</f>
        <v>EL PEÑOL, GUATAPÉ</v>
      </c>
      <c r="B613" t="str">
        <f t="shared" ref="B613:B631" si="33">+B612</f>
        <v>Finca la Marina el peñol,Guatapé</v>
      </c>
      <c r="E613" s="15"/>
      <c r="F613" s="15"/>
      <c r="G613" s="14">
        <v>45759</v>
      </c>
    </row>
    <row r="614" spans="1:7" ht="15" customHeight="1" x14ac:dyDescent="0.3">
      <c r="A614" t="str">
        <f t="shared" si="32"/>
        <v>EL PEÑOL, GUATAPÉ</v>
      </c>
      <c r="B614" t="str">
        <f t="shared" si="33"/>
        <v>Finca la Marina el peñol,Guatapé</v>
      </c>
      <c r="E614" s="15"/>
      <c r="F614" s="15"/>
      <c r="G614" s="14">
        <v>45760</v>
      </c>
    </row>
    <row r="615" spans="1:7" ht="15" customHeight="1" x14ac:dyDescent="0.3">
      <c r="A615" t="str">
        <f t="shared" si="32"/>
        <v>EL PEÑOL, GUATAPÉ</v>
      </c>
      <c r="B615" t="str">
        <f t="shared" si="33"/>
        <v>Finca la Marina el peñol,Guatapé</v>
      </c>
      <c r="E615" s="15"/>
      <c r="F615" s="15"/>
      <c r="G615" s="14">
        <v>45761</v>
      </c>
    </row>
    <row r="616" spans="1:7" ht="15" customHeight="1" x14ac:dyDescent="0.3">
      <c r="A616" t="str">
        <f t="shared" si="32"/>
        <v>EL PEÑOL, GUATAPÉ</v>
      </c>
      <c r="B616" t="str">
        <f t="shared" si="33"/>
        <v>Finca la Marina el peñol,Guatapé</v>
      </c>
      <c r="E616" s="15"/>
      <c r="F616" s="15"/>
      <c r="G616" s="14">
        <v>45762</v>
      </c>
    </row>
    <row r="617" spans="1:7" ht="15" customHeight="1" x14ac:dyDescent="0.3">
      <c r="A617" t="str">
        <f t="shared" si="32"/>
        <v>EL PEÑOL, GUATAPÉ</v>
      </c>
      <c r="B617" t="str">
        <f t="shared" si="33"/>
        <v>Finca la Marina el peñol,Guatapé</v>
      </c>
      <c r="E617" s="15"/>
      <c r="F617" s="15"/>
      <c r="G617" s="14">
        <v>45763</v>
      </c>
    </row>
    <row r="618" spans="1:7" ht="15" customHeight="1" x14ac:dyDescent="0.3">
      <c r="A618" t="str">
        <f t="shared" si="32"/>
        <v>EL PEÑOL, GUATAPÉ</v>
      </c>
      <c r="B618" t="str">
        <f t="shared" si="33"/>
        <v>Finca la Marina el peñol,Guatapé</v>
      </c>
      <c r="E618" s="15"/>
      <c r="F618" s="15"/>
      <c r="G618" s="14">
        <v>45764</v>
      </c>
    </row>
    <row r="619" spans="1:7" ht="15" customHeight="1" x14ac:dyDescent="0.3">
      <c r="A619" t="str">
        <f t="shared" si="32"/>
        <v>EL PEÑOL, GUATAPÉ</v>
      </c>
      <c r="B619" t="str">
        <f t="shared" si="33"/>
        <v>Finca la Marina el peñol,Guatapé</v>
      </c>
      <c r="E619" s="15"/>
      <c r="F619" s="15"/>
      <c r="G619" s="14">
        <v>45765</v>
      </c>
    </row>
    <row r="620" spans="1:7" ht="15" customHeight="1" x14ac:dyDescent="0.3">
      <c r="A620" t="str">
        <f t="shared" si="32"/>
        <v>EL PEÑOL, GUATAPÉ</v>
      </c>
      <c r="B620" t="str">
        <f t="shared" si="33"/>
        <v>Finca la Marina el peñol,Guatapé</v>
      </c>
      <c r="E620" s="15"/>
      <c r="F620" s="15"/>
      <c r="G620" s="14">
        <v>45766</v>
      </c>
    </row>
    <row r="621" spans="1:7" ht="15" customHeight="1" x14ac:dyDescent="0.3">
      <c r="A621" t="str">
        <f t="shared" si="32"/>
        <v>EL PEÑOL, GUATAPÉ</v>
      </c>
      <c r="B621" t="str">
        <f t="shared" si="33"/>
        <v>Finca la Marina el peñol,Guatapé</v>
      </c>
      <c r="E621" s="15"/>
      <c r="F621" s="15"/>
      <c r="G621" s="14">
        <v>45767</v>
      </c>
    </row>
    <row r="622" spans="1:7" ht="15" customHeight="1" x14ac:dyDescent="0.3">
      <c r="A622" t="str">
        <f t="shared" si="32"/>
        <v>EL PEÑOL, GUATAPÉ</v>
      </c>
      <c r="B622" t="str">
        <f t="shared" si="33"/>
        <v>Finca la Marina el peñol,Guatapé</v>
      </c>
      <c r="E622" s="15"/>
      <c r="F622" s="15"/>
      <c r="G622" s="14">
        <v>45768</v>
      </c>
    </row>
    <row r="623" spans="1:7" ht="15" customHeight="1" x14ac:dyDescent="0.3">
      <c r="A623" t="str">
        <f t="shared" si="32"/>
        <v>EL PEÑOL, GUATAPÉ</v>
      </c>
      <c r="B623" t="str">
        <f t="shared" si="33"/>
        <v>Finca la Marina el peñol,Guatapé</v>
      </c>
      <c r="E623" s="15"/>
      <c r="F623" s="15"/>
      <c r="G623" s="14">
        <v>45769</v>
      </c>
    </row>
    <row r="624" spans="1:7" ht="15" customHeight="1" x14ac:dyDescent="0.3">
      <c r="A624" t="str">
        <f t="shared" si="32"/>
        <v>EL PEÑOL, GUATAPÉ</v>
      </c>
      <c r="B624" t="str">
        <f t="shared" si="33"/>
        <v>Finca la Marina el peñol,Guatapé</v>
      </c>
      <c r="E624" s="15"/>
      <c r="F624" s="15"/>
      <c r="G624" s="14">
        <v>45770</v>
      </c>
    </row>
    <row r="625" spans="1:7" ht="15" customHeight="1" x14ac:dyDescent="0.3">
      <c r="A625" t="str">
        <f t="shared" si="32"/>
        <v>EL PEÑOL, GUATAPÉ</v>
      </c>
      <c r="B625" t="str">
        <f t="shared" si="33"/>
        <v>Finca la Marina el peñol,Guatapé</v>
      </c>
      <c r="E625" s="15"/>
      <c r="F625" s="15"/>
      <c r="G625" s="14">
        <v>45771</v>
      </c>
    </row>
    <row r="626" spans="1:7" ht="15" customHeight="1" x14ac:dyDescent="0.3">
      <c r="A626" t="str">
        <f t="shared" si="32"/>
        <v>EL PEÑOL, GUATAPÉ</v>
      </c>
      <c r="B626" t="str">
        <f t="shared" si="33"/>
        <v>Finca la Marina el peñol,Guatapé</v>
      </c>
      <c r="E626" s="15"/>
      <c r="F626" s="15"/>
      <c r="G626" s="14">
        <v>45772</v>
      </c>
    </row>
    <row r="627" spans="1:7" ht="15" customHeight="1" x14ac:dyDescent="0.3">
      <c r="A627" t="str">
        <f t="shared" si="32"/>
        <v>EL PEÑOL, GUATAPÉ</v>
      </c>
      <c r="B627" t="str">
        <f t="shared" si="33"/>
        <v>Finca la Marina el peñol,Guatapé</v>
      </c>
      <c r="E627" s="15"/>
      <c r="F627" s="15"/>
      <c r="G627" s="14">
        <v>45773</v>
      </c>
    </row>
    <row r="628" spans="1:7" ht="15" customHeight="1" x14ac:dyDescent="0.3">
      <c r="A628" t="str">
        <f t="shared" si="32"/>
        <v>EL PEÑOL, GUATAPÉ</v>
      </c>
      <c r="B628" t="str">
        <f t="shared" si="33"/>
        <v>Finca la Marina el peñol,Guatapé</v>
      </c>
      <c r="E628" s="15"/>
      <c r="F628" s="15"/>
      <c r="G628" s="14">
        <v>45774</v>
      </c>
    </row>
    <row r="629" spans="1:7" ht="15" customHeight="1" x14ac:dyDescent="0.3">
      <c r="A629" t="str">
        <f t="shared" si="32"/>
        <v>EL PEÑOL, GUATAPÉ</v>
      </c>
      <c r="B629" t="str">
        <f t="shared" si="33"/>
        <v>Finca la Marina el peñol,Guatapé</v>
      </c>
      <c r="E629" s="15"/>
      <c r="F629" s="15"/>
      <c r="G629" s="14">
        <v>45775</v>
      </c>
    </row>
    <row r="630" spans="1:7" ht="15" customHeight="1" x14ac:dyDescent="0.3">
      <c r="A630" t="str">
        <f t="shared" si="32"/>
        <v>EL PEÑOL, GUATAPÉ</v>
      </c>
      <c r="B630" t="str">
        <f t="shared" si="33"/>
        <v>Finca la Marina el peñol,Guatapé</v>
      </c>
      <c r="E630" s="15"/>
      <c r="F630" s="15"/>
      <c r="G630" s="14">
        <v>45776</v>
      </c>
    </row>
    <row r="631" spans="1:7" ht="15" customHeight="1" x14ac:dyDescent="0.3">
      <c r="A631" t="str">
        <f t="shared" si="32"/>
        <v>EL PEÑOL, GUATAPÉ</v>
      </c>
      <c r="B631" t="str">
        <f t="shared" si="33"/>
        <v>Finca la Marina el peñol,Guatapé</v>
      </c>
      <c r="E631" s="15"/>
      <c r="F631" s="15"/>
      <c r="G631" s="14">
        <v>45777</v>
      </c>
    </row>
    <row r="632" spans="1:7" x14ac:dyDescent="0.3">
      <c r="A632" t="s">
        <v>97</v>
      </c>
      <c r="B632" t="s">
        <v>116</v>
      </c>
      <c r="E632" s="15"/>
      <c r="F632" s="15"/>
      <c r="G632" s="14">
        <v>45736</v>
      </c>
    </row>
    <row r="633" spans="1:7" x14ac:dyDescent="0.3">
      <c r="A633" t="str">
        <f t="shared" ref="A633:A673" si="34">+A632</f>
        <v xml:space="preserve">El peñol </v>
      </c>
      <c r="B633" t="str">
        <f t="shared" ref="B633:B673" si="35">+B632</f>
        <v>1811 Villas Guatapé</v>
      </c>
      <c r="E633" s="15"/>
      <c r="F633" s="15"/>
      <c r="G633" s="14">
        <v>45737</v>
      </c>
    </row>
    <row r="634" spans="1:7" x14ac:dyDescent="0.3">
      <c r="A634" t="str">
        <f t="shared" si="34"/>
        <v xml:space="preserve">El peñol </v>
      </c>
      <c r="B634" t="str">
        <f t="shared" si="35"/>
        <v>1811 Villas Guatapé</v>
      </c>
      <c r="E634" s="15"/>
      <c r="F634" s="15"/>
      <c r="G634" s="14">
        <v>45738</v>
      </c>
    </row>
    <row r="635" spans="1:7" x14ac:dyDescent="0.3">
      <c r="A635" t="str">
        <f t="shared" si="34"/>
        <v xml:space="preserve">El peñol </v>
      </c>
      <c r="B635" t="str">
        <f t="shared" si="35"/>
        <v>1811 Villas Guatapé</v>
      </c>
      <c r="E635" s="15"/>
      <c r="F635" s="15"/>
      <c r="G635" s="14">
        <v>45739</v>
      </c>
    </row>
    <row r="636" spans="1:7" x14ac:dyDescent="0.3">
      <c r="A636" t="str">
        <f t="shared" si="34"/>
        <v xml:space="preserve">El peñol </v>
      </c>
      <c r="B636" t="str">
        <f t="shared" si="35"/>
        <v>1811 Villas Guatapé</v>
      </c>
      <c r="E636" s="15"/>
      <c r="F636" s="15"/>
      <c r="G636" s="14">
        <v>45740</v>
      </c>
    </row>
    <row r="637" spans="1:7" x14ac:dyDescent="0.3">
      <c r="A637" t="str">
        <f t="shared" si="34"/>
        <v xml:space="preserve">El peñol </v>
      </c>
      <c r="B637" t="str">
        <f t="shared" si="35"/>
        <v>1811 Villas Guatapé</v>
      </c>
      <c r="E637" s="15"/>
      <c r="F637" s="15"/>
      <c r="G637" s="14">
        <v>45741</v>
      </c>
    </row>
    <row r="638" spans="1:7" x14ac:dyDescent="0.3">
      <c r="A638" t="str">
        <f t="shared" si="34"/>
        <v xml:space="preserve">El peñol </v>
      </c>
      <c r="B638" t="str">
        <f t="shared" si="35"/>
        <v>1811 Villas Guatapé</v>
      </c>
      <c r="E638" s="15"/>
      <c r="F638" s="15"/>
      <c r="G638" s="14">
        <v>45742</v>
      </c>
    </row>
    <row r="639" spans="1:7" x14ac:dyDescent="0.3">
      <c r="A639" t="str">
        <f t="shared" si="34"/>
        <v xml:space="preserve">El peñol </v>
      </c>
      <c r="B639" t="str">
        <f t="shared" si="35"/>
        <v>1811 Villas Guatapé</v>
      </c>
      <c r="E639" s="15"/>
      <c r="F639" s="15"/>
      <c r="G639" s="14">
        <v>45743</v>
      </c>
    </row>
    <row r="640" spans="1:7" x14ac:dyDescent="0.3">
      <c r="A640" t="str">
        <f t="shared" si="34"/>
        <v xml:space="preserve">El peñol </v>
      </c>
      <c r="B640" t="str">
        <f t="shared" si="35"/>
        <v>1811 Villas Guatapé</v>
      </c>
      <c r="E640" s="15"/>
      <c r="F640" s="15"/>
      <c r="G640" s="14">
        <v>45744</v>
      </c>
    </row>
    <row r="641" spans="1:7" x14ac:dyDescent="0.3">
      <c r="A641" t="str">
        <f t="shared" si="34"/>
        <v xml:space="preserve">El peñol </v>
      </c>
      <c r="B641" t="str">
        <f t="shared" si="35"/>
        <v>1811 Villas Guatapé</v>
      </c>
      <c r="E641" s="15"/>
      <c r="F641" s="15"/>
      <c r="G641" s="14">
        <v>45745</v>
      </c>
    </row>
    <row r="642" spans="1:7" x14ac:dyDescent="0.3">
      <c r="A642" t="str">
        <f t="shared" si="34"/>
        <v xml:space="preserve">El peñol </v>
      </c>
      <c r="B642" t="str">
        <f t="shared" si="35"/>
        <v>1811 Villas Guatapé</v>
      </c>
      <c r="E642" s="15"/>
      <c r="F642" s="15"/>
      <c r="G642" s="14">
        <v>45746</v>
      </c>
    </row>
    <row r="643" spans="1:7" x14ac:dyDescent="0.3">
      <c r="A643" t="str">
        <f t="shared" si="34"/>
        <v xml:space="preserve">El peñol </v>
      </c>
      <c r="B643" t="str">
        <f t="shared" si="35"/>
        <v>1811 Villas Guatapé</v>
      </c>
      <c r="E643" s="15"/>
      <c r="F643" s="15"/>
      <c r="G643" s="14">
        <v>45747</v>
      </c>
    </row>
    <row r="644" spans="1:7" x14ac:dyDescent="0.3">
      <c r="A644" t="str">
        <f t="shared" si="34"/>
        <v xml:space="preserve">El peñol </v>
      </c>
      <c r="B644" t="str">
        <f t="shared" si="35"/>
        <v>1811 Villas Guatapé</v>
      </c>
      <c r="E644" s="15"/>
      <c r="F644" s="15"/>
      <c r="G644" s="14">
        <v>45748</v>
      </c>
    </row>
    <row r="645" spans="1:7" x14ac:dyDescent="0.3">
      <c r="A645" t="str">
        <f t="shared" si="34"/>
        <v xml:space="preserve">El peñol </v>
      </c>
      <c r="B645" t="str">
        <f t="shared" si="35"/>
        <v>1811 Villas Guatapé</v>
      </c>
      <c r="E645" s="15"/>
      <c r="F645" s="15"/>
      <c r="G645" s="14">
        <v>45749</v>
      </c>
    </row>
    <row r="646" spans="1:7" x14ac:dyDescent="0.3">
      <c r="A646" t="str">
        <f t="shared" si="34"/>
        <v xml:space="preserve">El peñol </v>
      </c>
      <c r="B646" t="str">
        <f t="shared" si="35"/>
        <v>1811 Villas Guatapé</v>
      </c>
      <c r="E646" s="15"/>
      <c r="F646" s="15"/>
      <c r="G646" s="14">
        <v>45750</v>
      </c>
    </row>
    <row r="647" spans="1:7" x14ac:dyDescent="0.3">
      <c r="A647" t="str">
        <f t="shared" si="34"/>
        <v xml:space="preserve">El peñol </v>
      </c>
      <c r="B647" t="str">
        <f t="shared" si="35"/>
        <v>1811 Villas Guatapé</v>
      </c>
      <c r="E647" s="15"/>
      <c r="F647" s="15"/>
      <c r="G647" s="14">
        <v>45751</v>
      </c>
    </row>
    <row r="648" spans="1:7" x14ac:dyDescent="0.3">
      <c r="A648" t="str">
        <f t="shared" si="34"/>
        <v xml:space="preserve">El peñol </v>
      </c>
      <c r="B648" t="str">
        <f t="shared" si="35"/>
        <v>1811 Villas Guatapé</v>
      </c>
      <c r="E648" s="15"/>
      <c r="F648" s="15"/>
      <c r="G648" s="14">
        <v>45752</v>
      </c>
    </row>
    <row r="649" spans="1:7" x14ac:dyDescent="0.3">
      <c r="A649" t="str">
        <f t="shared" si="34"/>
        <v xml:space="preserve">El peñol </v>
      </c>
      <c r="B649" t="str">
        <f t="shared" si="35"/>
        <v>1811 Villas Guatapé</v>
      </c>
      <c r="E649" s="15"/>
      <c r="F649" s="15"/>
      <c r="G649" s="14">
        <v>45753</v>
      </c>
    </row>
    <row r="650" spans="1:7" x14ac:dyDescent="0.3">
      <c r="A650" t="str">
        <f t="shared" si="34"/>
        <v xml:space="preserve">El peñol </v>
      </c>
      <c r="B650" t="str">
        <f t="shared" si="35"/>
        <v>1811 Villas Guatapé</v>
      </c>
      <c r="E650" s="15"/>
      <c r="F650" s="15"/>
      <c r="G650" s="14">
        <v>45754</v>
      </c>
    </row>
    <row r="651" spans="1:7" x14ac:dyDescent="0.3">
      <c r="A651" t="str">
        <f t="shared" si="34"/>
        <v xml:space="preserve">El peñol </v>
      </c>
      <c r="B651" t="str">
        <f t="shared" si="35"/>
        <v>1811 Villas Guatapé</v>
      </c>
      <c r="E651" s="15"/>
      <c r="F651" s="15"/>
      <c r="G651" s="14">
        <v>45755</v>
      </c>
    </row>
    <row r="652" spans="1:7" x14ac:dyDescent="0.3">
      <c r="A652" t="str">
        <f t="shared" si="34"/>
        <v xml:space="preserve">El peñol </v>
      </c>
      <c r="B652" t="str">
        <f t="shared" si="35"/>
        <v>1811 Villas Guatapé</v>
      </c>
      <c r="E652" s="15"/>
      <c r="F652" s="15"/>
      <c r="G652" s="14">
        <v>45756</v>
      </c>
    </row>
    <row r="653" spans="1:7" x14ac:dyDescent="0.3">
      <c r="A653" t="str">
        <f t="shared" si="34"/>
        <v xml:space="preserve">El peñol </v>
      </c>
      <c r="B653" t="str">
        <f t="shared" si="35"/>
        <v>1811 Villas Guatapé</v>
      </c>
      <c r="E653" s="15"/>
      <c r="F653" s="15"/>
      <c r="G653" s="14">
        <v>45757</v>
      </c>
    </row>
    <row r="654" spans="1:7" x14ac:dyDescent="0.3">
      <c r="A654" t="str">
        <f t="shared" si="34"/>
        <v xml:space="preserve">El peñol </v>
      </c>
      <c r="B654" t="str">
        <f t="shared" si="35"/>
        <v>1811 Villas Guatapé</v>
      </c>
      <c r="E654" s="15"/>
      <c r="F654" s="15"/>
      <c r="G654" s="14">
        <v>45758</v>
      </c>
    </row>
    <row r="655" spans="1:7" x14ac:dyDescent="0.3">
      <c r="A655" t="str">
        <f t="shared" si="34"/>
        <v xml:space="preserve">El peñol </v>
      </c>
      <c r="B655" t="str">
        <f t="shared" si="35"/>
        <v>1811 Villas Guatapé</v>
      </c>
      <c r="E655" s="15"/>
      <c r="F655" s="15"/>
      <c r="G655" s="14">
        <v>45759</v>
      </c>
    </row>
    <row r="656" spans="1:7" x14ac:dyDescent="0.3">
      <c r="A656" t="str">
        <f t="shared" si="34"/>
        <v xml:space="preserve">El peñol </v>
      </c>
      <c r="B656" t="str">
        <f t="shared" si="35"/>
        <v>1811 Villas Guatapé</v>
      </c>
      <c r="E656" s="15"/>
      <c r="F656" s="15"/>
      <c r="G656" s="14">
        <v>45760</v>
      </c>
    </row>
    <row r="657" spans="1:7" x14ac:dyDescent="0.3">
      <c r="A657" t="str">
        <f t="shared" si="34"/>
        <v xml:space="preserve">El peñol </v>
      </c>
      <c r="B657" t="str">
        <f t="shared" si="35"/>
        <v>1811 Villas Guatapé</v>
      </c>
      <c r="E657" s="15"/>
      <c r="F657" s="15"/>
      <c r="G657" s="14">
        <v>45761</v>
      </c>
    </row>
    <row r="658" spans="1:7" x14ac:dyDescent="0.3">
      <c r="A658" t="str">
        <f t="shared" si="34"/>
        <v xml:space="preserve">El peñol </v>
      </c>
      <c r="B658" t="str">
        <f t="shared" si="35"/>
        <v>1811 Villas Guatapé</v>
      </c>
      <c r="E658" s="15"/>
      <c r="F658" s="15"/>
      <c r="G658" s="14">
        <v>45762</v>
      </c>
    </row>
    <row r="659" spans="1:7" x14ac:dyDescent="0.3">
      <c r="A659" t="str">
        <f t="shared" si="34"/>
        <v xml:space="preserve">El peñol </v>
      </c>
      <c r="B659" t="str">
        <f t="shared" si="35"/>
        <v>1811 Villas Guatapé</v>
      </c>
      <c r="E659" s="15"/>
      <c r="F659" s="15"/>
      <c r="G659" s="14">
        <v>45763</v>
      </c>
    </row>
    <row r="660" spans="1:7" x14ac:dyDescent="0.3">
      <c r="A660" t="str">
        <f t="shared" si="34"/>
        <v xml:space="preserve">El peñol </v>
      </c>
      <c r="B660" t="str">
        <f t="shared" si="35"/>
        <v>1811 Villas Guatapé</v>
      </c>
      <c r="E660" s="15"/>
      <c r="F660" s="15"/>
      <c r="G660" s="14">
        <v>45764</v>
      </c>
    </row>
    <row r="661" spans="1:7" x14ac:dyDescent="0.3">
      <c r="A661" t="str">
        <f t="shared" si="34"/>
        <v xml:space="preserve">El peñol </v>
      </c>
      <c r="B661" t="str">
        <f t="shared" si="35"/>
        <v>1811 Villas Guatapé</v>
      </c>
      <c r="E661" s="15"/>
      <c r="F661" s="15"/>
      <c r="G661" s="14">
        <v>45765</v>
      </c>
    </row>
    <row r="662" spans="1:7" x14ac:dyDescent="0.3">
      <c r="A662" t="str">
        <f t="shared" si="34"/>
        <v xml:space="preserve">El peñol </v>
      </c>
      <c r="B662" t="str">
        <f t="shared" si="35"/>
        <v>1811 Villas Guatapé</v>
      </c>
      <c r="E662" s="15"/>
      <c r="F662" s="15"/>
      <c r="G662" s="14">
        <v>45766</v>
      </c>
    </row>
    <row r="663" spans="1:7" x14ac:dyDescent="0.3">
      <c r="A663" t="str">
        <f t="shared" si="34"/>
        <v xml:space="preserve">El peñol </v>
      </c>
      <c r="B663" t="str">
        <f t="shared" si="35"/>
        <v>1811 Villas Guatapé</v>
      </c>
      <c r="E663" s="15"/>
      <c r="F663" s="15"/>
      <c r="G663" s="14">
        <v>45767</v>
      </c>
    </row>
    <row r="664" spans="1:7" x14ac:dyDescent="0.3">
      <c r="A664" t="str">
        <f t="shared" si="34"/>
        <v xml:space="preserve">El peñol </v>
      </c>
      <c r="B664" t="str">
        <f t="shared" si="35"/>
        <v>1811 Villas Guatapé</v>
      </c>
      <c r="E664" s="15"/>
      <c r="F664" s="15"/>
      <c r="G664" s="14">
        <v>45768</v>
      </c>
    </row>
    <row r="665" spans="1:7" x14ac:dyDescent="0.3">
      <c r="A665" t="str">
        <f t="shared" si="34"/>
        <v xml:space="preserve">El peñol </v>
      </c>
      <c r="B665" t="str">
        <f t="shared" si="35"/>
        <v>1811 Villas Guatapé</v>
      </c>
      <c r="E665" s="15"/>
      <c r="F665" s="15"/>
      <c r="G665" s="14">
        <v>45769</v>
      </c>
    </row>
    <row r="666" spans="1:7" x14ac:dyDescent="0.3">
      <c r="A666" t="str">
        <f t="shared" si="34"/>
        <v xml:space="preserve">El peñol </v>
      </c>
      <c r="B666" t="str">
        <f t="shared" si="35"/>
        <v>1811 Villas Guatapé</v>
      </c>
      <c r="E666" s="15"/>
      <c r="F666" s="15"/>
      <c r="G666" s="14">
        <v>45770</v>
      </c>
    </row>
    <row r="667" spans="1:7" x14ac:dyDescent="0.3">
      <c r="A667" t="str">
        <f t="shared" si="34"/>
        <v xml:space="preserve">El peñol </v>
      </c>
      <c r="B667" t="str">
        <f t="shared" si="35"/>
        <v>1811 Villas Guatapé</v>
      </c>
      <c r="E667" s="15"/>
      <c r="F667" s="15"/>
      <c r="G667" s="14">
        <v>45771</v>
      </c>
    </row>
    <row r="668" spans="1:7" x14ac:dyDescent="0.3">
      <c r="A668" t="str">
        <f t="shared" si="34"/>
        <v xml:space="preserve">El peñol </v>
      </c>
      <c r="B668" t="str">
        <f t="shared" si="35"/>
        <v>1811 Villas Guatapé</v>
      </c>
      <c r="E668" s="15"/>
      <c r="F668" s="15"/>
      <c r="G668" s="14">
        <v>45772</v>
      </c>
    </row>
    <row r="669" spans="1:7" x14ac:dyDescent="0.3">
      <c r="A669" t="str">
        <f t="shared" si="34"/>
        <v xml:space="preserve">El peñol </v>
      </c>
      <c r="B669" t="str">
        <f t="shared" si="35"/>
        <v>1811 Villas Guatapé</v>
      </c>
      <c r="E669" s="15"/>
      <c r="F669" s="15"/>
      <c r="G669" s="14">
        <v>45773</v>
      </c>
    </row>
    <row r="670" spans="1:7" x14ac:dyDescent="0.3">
      <c r="A670" t="str">
        <f t="shared" si="34"/>
        <v xml:space="preserve">El peñol </v>
      </c>
      <c r="B670" t="str">
        <f t="shared" si="35"/>
        <v>1811 Villas Guatapé</v>
      </c>
      <c r="E670" s="15"/>
      <c r="F670" s="15"/>
      <c r="G670" s="14">
        <v>45774</v>
      </c>
    </row>
    <row r="671" spans="1:7" x14ac:dyDescent="0.3">
      <c r="A671" t="str">
        <f t="shared" si="34"/>
        <v xml:space="preserve">El peñol </v>
      </c>
      <c r="B671" t="str">
        <f t="shared" si="35"/>
        <v>1811 Villas Guatapé</v>
      </c>
      <c r="E671" s="15"/>
      <c r="F671" s="15"/>
      <c r="G671" s="14">
        <v>45775</v>
      </c>
    </row>
    <row r="672" spans="1:7" x14ac:dyDescent="0.3">
      <c r="A672" t="str">
        <f t="shared" si="34"/>
        <v xml:space="preserve">El peñol </v>
      </c>
      <c r="B672" t="str">
        <f t="shared" si="35"/>
        <v>1811 Villas Guatapé</v>
      </c>
      <c r="E672" s="15"/>
      <c r="F672" s="15"/>
      <c r="G672" s="14">
        <v>45776</v>
      </c>
    </row>
    <row r="673" spans="1:7" x14ac:dyDescent="0.3">
      <c r="A673" t="str">
        <f t="shared" si="34"/>
        <v xml:space="preserve">El peñol </v>
      </c>
      <c r="B673" t="str">
        <f t="shared" si="35"/>
        <v>1811 Villas Guatapé</v>
      </c>
      <c r="E673" s="15"/>
      <c r="F673" s="15"/>
      <c r="G673" s="14">
        <v>45777</v>
      </c>
    </row>
    <row r="674" spans="1:7" x14ac:dyDescent="0.3">
      <c r="A674" t="s">
        <v>126</v>
      </c>
      <c r="B674" t="s">
        <v>118</v>
      </c>
      <c r="E674" s="15"/>
      <c r="F674" s="15"/>
      <c r="G674" s="14">
        <v>45736</v>
      </c>
    </row>
    <row r="675" spans="1:7" x14ac:dyDescent="0.3">
      <c r="A675" t="str">
        <f t="shared" ref="A675:A715" si="36">+A674</f>
        <v>Pereira</v>
      </c>
      <c r="B675" t="str">
        <f t="shared" ref="B675:B715" si="37">+B674</f>
        <v>Hotel Z3</v>
      </c>
      <c r="E675" s="15"/>
      <c r="F675" s="15"/>
      <c r="G675" s="14">
        <v>45737</v>
      </c>
    </row>
    <row r="676" spans="1:7" x14ac:dyDescent="0.3">
      <c r="A676" t="str">
        <f t="shared" si="36"/>
        <v>Pereira</v>
      </c>
      <c r="B676" t="str">
        <f t="shared" si="37"/>
        <v>Hotel Z3</v>
      </c>
      <c r="E676" s="15"/>
      <c r="F676" s="15"/>
      <c r="G676" s="14">
        <v>45738</v>
      </c>
    </row>
    <row r="677" spans="1:7" x14ac:dyDescent="0.3">
      <c r="A677" t="str">
        <f t="shared" si="36"/>
        <v>Pereira</v>
      </c>
      <c r="B677" t="str">
        <f t="shared" si="37"/>
        <v>Hotel Z3</v>
      </c>
      <c r="E677" s="15"/>
      <c r="F677" s="15"/>
      <c r="G677" s="14">
        <v>45739</v>
      </c>
    </row>
    <row r="678" spans="1:7" x14ac:dyDescent="0.3">
      <c r="A678" t="str">
        <f t="shared" si="36"/>
        <v>Pereira</v>
      </c>
      <c r="B678" t="str">
        <f t="shared" si="37"/>
        <v>Hotel Z3</v>
      </c>
      <c r="E678" s="15"/>
      <c r="F678" s="15"/>
      <c r="G678" s="14">
        <v>45740</v>
      </c>
    </row>
    <row r="679" spans="1:7" x14ac:dyDescent="0.3">
      <c r="A679" t="str">
        <f t="shared" si="36"/>
        <v>Pereira</v>
      </c>
      <c r="B679" t="str">
        <f t="shared" si="37"/>
        <v>Hotel Z3</v>
      </c>
      <c r="E679" s="15"/>
      <c r="F679" s="15"/>
      <c r="G679" s="14">
        <v>45741</v>
      </c>
    </row>
    <row r="680" spans="1:7" x14ac:dyDescent="0.3">
      <c r="A680" t="str">
        <f t="shared" si="36"/>
        <v>Pereira</v>
      </c>
      <c r="B680" t="str">
        <f t="shared" si="37"/>
        <v>Hotel Z3</v>
      </c>
      <c r="E680" s="15"/>
      <c r="F680" s="15"/>
      <c r="G680" s="14">
        <v>45742</v>
      </c>
    </row>
    <row r="681" spans="1:7" x14ac:dyDescent="0.3">
      <c r="A681" t="str">
        <f t="shared" si="36"/>
        <v>Pereira</v>
      </c>
      <c r="B681" t="str">
        <f t="shared" si="37"/>
        <v>Hotel Z3</v>
      </c>
      <c r="E681" s="15"/>
      <c r="F681" s="15"/>
      <c r="G681" s="14">
        <v>45743</v>
      </c>
    </row>
    <row r="682" spans="1:7" x14ac:dyDescent="0.3">
      <c r="A682" t="str">
        <f t="shared" si="36"/>
        <v>Pereira</v>
      </c>
      <c r="B682" t="str">
        <f t="shared" si="37"/>
        <v>Hotel Z3</v>
      </c>
      <c r="E682" s="15"/>
      <c r="F682" s="15"/>
      <c r="G682" s="14">
        <v>45744</v>
      </c>
    </row>
    <row r="683" spans="1:7" x14ac:dyDescent="0.3">
      <c r="A683" t="str">
        <f t="shared" si="36"/>
        <v>Pereira</v>
      </c>
      <c r="B683" t="str">
        <f t="shared" si="37"/>
        <v>Hotel Z3</v>
      </c>
      <c r="E683" s="15"/>
      <c r="F683" s="15"/>
      <c r="G683" s="14">
        <v>45745</v>
      </c>
    </row>
    <row r="684" spans="1:7" x14ac:dyDescent="0.3">
      <c r="A684" t="str">
        <f t="shared" si="36"/>
        <v>Pereira</v>
      </c>
      <c r="B684" t="str">
        <f t="shared" si="37"/>
        <v>Hotel Z3</v>
      </c>
      <c r="E684" s="15"/>
      <c r="F684" s="15"/>
      <c r="G684" s="14">
        <v>45746</v>
      </c>
    </row>
    <row r="685" spans="1:7" x14ac:dyDescent="0.3">
      <c r="A685" t="str">
        <f t="shared" si="36"/>
        <v>Pereira</v>
      </c>
      <c r="B685" t="str">
        <f t="shared" si="37"/>
        <v>Hotel Z3</v>
      </c>
      <c r="E685" s="15"/>
      <c r="F685" s="15"/>
      <c r="G685" s="14">
        <v>45747</v>
      </c>
    </row>
    <row r="686" spans="1:7" x14ac:dyDescent="0.3">
      <c r="A686" t="str">
        <f t="shared" si="36"/>
        <v>Pereira</v>
      </c>
      <c r="B686" t="str">
        <f t="shared" si="37"/>
        <v>Hotel Z3</v>
      </c>
      <c r="E686" s="15"/>
      <c r="F686" s="15"/>
      <c r="G686" s="14">
        <v>45748</v>
      </c>
    </row>
    <row r="687" spans="1:7" x14ac:dyDescent="0.3">
      <c r="A687" t="str">
        <f t="shared" si="36"/>
        <v>Pereira</v>
      </c>
      <c r="B687" t="str">
        <f t="shared" si="37"/>
        <v>Hotel Z3</v>
      </c>
      <c r="E687" s="15"/>
      <c r="F687" s="15"/>
      <c r="G687" s="14">
        <v>45749</v>
      </c>
    </row>
    <row r="688" spans="1:7" x14ac:dyDescent="0.3">
      <c r="A688" t="str">
        <f t="shared" si="36"/>
        <v>Pereira</v>
      </c>
      <c r="B688" t="str">
        <f t="shared" si="37"/>
        <v>Hotel Z3</v>
      </c>
      <c r="E688" s="15"/>
      <c r="F688" s="15"/>
      <c r="G688" s="14">
        <v>45750</v>
      </c>
    </row>
    <row r="689" spans="1:7" x14ac:dyDescent="0.3">
      <c r="A689" t="str">
        <f t="shared" si="36"/>
        <v>Pereira</v>
      </c>
      <c r="B689" t="str">
        <f t="shared" si="37"/>
        <v>Hotel Z3</v>
      </c>
      <c r="E689" s="15"/>
      <c r="F689" s="15"/>
      <c r="G689" s="14">
        <v>45751</v>
      </c>
    </row>
    <row r="690" spans="1:7" x14ac:dyDescent="0.3">
      <c r="A690" t="str">
        <f t="shared" si="36"/>
        <v>Pereira</v>
      </c>
      <c r="B690" t="str">
        <f t="shared" si="37"/>
        <v>Hotel Z3</v>
      </c>
      <c r="E690" s="15"/>
      <c r="F690" s="15"/>
      <c r="G690" s="14">
        <v>45752</v>
      </c>
    </row>
    <row r="691" spans="1:7" x14ac:dyDescent="0.3">
      <c r="A691" t="str">
        <f t="shared" si="36"/>
        <v>Pereira</v>
      </c>
      <c r="B691" t="str">
        <f t="shared" si="37"/>
        <v>Hotel Z3</v>
      </c>
      <c r="E691" s="15"/>
      <c r="F691" s="15"/>
      <c r="G691" s="14">
        <v>45753</v>
      </c>
    </row>
    <row r="692" spans="1:7" x14ac:dyDescent="0.3">
      <c r="A692" t="str">
        <f t="shared" si="36"/>
        <v>Pereira</v>
      </c>
      <c r="B692" t="str">
        <f t="shared" si="37"/>
        <v>Hotel Z3</v>
      </c>
      <c r="E692" s="15"/>
      <c r="F692" s="15"/>
      <c r="G692" s="14">
        <v>45754</v>
      </c>
    </row>
    <row r="693" spans="1:7" x14ac:dyDescent="0.3">
      <c r="A693" t="str">
        <f t="shared" si="36"/>
        <v>Pereira</v>
      </c>
      <c r="B693" t="str">
        <f t="shared" si="37"/>
        <v>Hotel Z3</v>
      </c>
      <c r="E693" s="15"/>
      <c r="F693" s="15"/>
      <c r="G693" s="14">
        <v>45755</v>
      </c>
    </row>
    <row r="694" spans="1:7" x14ac:dyDescent="0.3">
      <c r="A694" t="str">
        <f t="shared" si="36"/>
        <v>Pereira</v>
      </c>
      <c r="B694" t="str">
        <f t="shared" si="37"/>
        <v>Hotel Z3</v>
      </c>
      <c r="E694" s="15"/>
      <c r="F694" s="15"/>
      <c r="G694" s="14">
        <v>45756</v>
      </c>
    </row>
    <row r="695" spans="1:7" x14ac:dyDescent="0.3">
      <c r="A695" t="str">
        <f t="shared" si="36"/>
        <v>Pereira</v>
      </c>
      <c r="B695" t="str">
        <f t="shared" si="37"/>
        <v>Hotel Z3</v>
      </c>
      <c r="E695" s="15"/>
      <c r="F695" s="15"/>
      <c r="G695" s="14">
        <v>45757</v>
      </c>
    </row>
    <row r="696" spans="1:7" x14ac:dyDescent="0.3">
      <c r="A696" t="str">
        <f t="shared" si="36"/>
        <v>Pereira</v>
      </c>
      <c r="B696" t="str">
        <f t="shared" si="37"/>
        <v>Hotel Z3</v>
      </c>
      <c r="E696" s="15"/>
      <c r="F696" s="15"/>
      <c r="G696" s="14">
        <v>45758</v>
      </c>
    </row>
    <row r="697" spans="1:7" x14ac:dyDescent="0.3">
      <c r="A697" t="str">
        <f t="shared" si="36"/>
        <v>Pereira</v>
      </c>
      <c r="B697" t="str">
        <f t="shared" si="37"/>
        <v>Hotel Z3</v>
      </c>
      <c r="E697" s="15"/>
      <c r="F697" s="15"/>
      <c r="G697" s="14">
        <v>45759</v>
      </c>
    </row>
    <row r="698" spans="1:7" x14ac:dyDescent="0.3">
      <c r="A698" t="str">
        <f t="shared" si="36"/>
        <v>Pereira</v>
      </c>
      <c r="B698" t="str">
        <f t="shared" si="37"/>
        <v>Hotel Z3</v>
      </c>
      <c r="E698" s="15"/>
      <c r="F698" s="15"/>
      <c r="G698" s="14">
        <v>45760</v>
      </c>
    </row>
    <row r="699" spans="1:7" x14ac:dyDescent="0.3">
      <c r="A699" t="str">
        <f t="shared" si="36"/>
        <v>Pereira</v>
      </c>
      <c r="B699" t="str">
        <f t="shared" si="37"/>
        <v>Hotel Z3</v>
      </c>
      <c r="E699" s="15"/>
      <c r="F699" s="15"/>
      <c r="G699" s="14">
        <v>45761</v>
      </c>
    </row>
    <row r="700" spans="1:7" x14ac:dyDescent="0.3">
      <c r="A700" t="str">
        <f t="shared" si="36"/>
        <v>Pereira</v>
      </c>
      <c r="B700" t="str">
        <f t="shared" si="37"/>
        <v>Hotel Z3</v>
      </c>
      <c r="E700" s="15"/>
      <c r="F700" s="15"/>
      <c r="G700" s="14">
        <v>45762</v>
      </c>
    </row>
    <row r="701" spans="1:7" x14ac:dyDescent="0.3">
      <c r="A701" t="str">
        <f t="shared" si="36"/>
        <v>Pereira</v>
      </c>
      <c r="B701" t="str">
        <f t="shared" si="37"/>
        <v>Hotel Z3</v>
      </c>
      <c r="E701" s="15"/>
      <c r="F701" s="15"/>
      <c r="G701" s="14">
        <v>45763</v>
      </c>
    </row>
    <row r="702" spans="1:7" x14ac:dyDescent="0.3">
      <c r="A702" t="str">
        <f t="shared" si="36"/>
        <v>Pereira</v>
      </c>
      <c r="B702" t="str">
        <f t="shared" si="37"/>
        <v>Hotel Z3</v>
      </c>
      <c r="E702" s="15"/>
      <c r="F702" s="15"/>
      <c r="G702" s="14">
        <v>45764</v>
      </c>
    </row>
    <row r="703" spans="1:7" x14ac:dyDescent="0.3">
      <c r="A703" t="str">
        <f t="shared" si="36"/>
        <v>Pereira</v>
      </c>
      <c r="B703" t="str">
        <f t="shared" si="37"/>
        <v>Hotel Z3</v>
      </c>
      <c r="E703" s="15"/>
      <c r="F703" s="15"/>
      <c r="G703" s="14">
        <v>45765</v>
      </c>
    </row>
    <row r="704" spans="1:7" x14ac:dyDescent="0.3">
      <c r="A704" t="str">
        <f t="shared" si="36"/>
        <v>Pereira</v>
      </c>
      <c r="B704" t="str">
        <f t="shared" si="37"/>
        <v>Hotel Z3</v>
      </c>
      <c r="E704" s="15"/>
      <c r="F704" s="15"/>
      <c r="G704" s="14">
        <v>45766</v>
      </c>
    </row>
    <row r="705" spans="1:7" x14ac:dyDescent="0.3">
      <c r="A705" t="str">
        <f t="shared" si="36"/>
        <v>Pereira</v>
      </c>
      <c r="B705" t="str">
        <f t="shared" si="37"/>
        <v>Hotel Z3</v>
      </c>
      <c r="E705" s="15"/>
      <c r="F705" s="15"/>
      <c r="G705" s="14">
        <v>45767</v>
      </c>
    </row>
    <row r="706" spans="1:7" x14ac:dyDescent="0.3">
      <c r="A706" t="str">
        <f t="shared" si="36"/>
        <v>Pereira</v>
      </c>
      <c r="B706" t="str">
        <f t="shared" si="37"/>
        <v>Hotel Z3</v>
      </c>
      <c r="E706" s="15"/>
      <c r="F706" s="15"/>
      <c r="G706" s="14">
        <v>45768</v>
      </c>
    </row>
    <row r="707" spans="1:7" x14ac:dyDescent="0.3">
      <c r="A707" t="str">
        <f t="shared" si="36"/>
        <v>Pereira</v>
      </c>
      <c r="B707" t="str">
        <f t="shared" si="37"/>
        <v>Hotel Z3</v>
      </c>
      <c r="E707" s="15"/>
      <c r="F707" s="15"/>
      <c r="G707" s="14">
        <v>45769</v>
      </c>
    </row>
    <row r="708" spans="1:7" x14ac:dyDescent="0.3">
      <c r="A708" t="str">
        <f t="shared" si="36"/>
        <v>Pereira</v>
      </c>
      <c r="B708" t="str">
        <f t="shared" si="37"/>
        <v>Hotel Z3</v>
      </c>
      <c r="E708" s="15"/>
      <c r="F708" s="15"/>
      <c r="G708" s="14">
        <v>45770</v>
      </c>
    </row>
    <row r="709" spans="1:7" x14ac:dyDescent="0.3">
      <c r="A709" t="str">
        <f t="shared" si="36"/>
        <v>Pereira</v>
      </c>
      <c r="B709" t="str">
        <f t="shared" si="37"/>
        <v>Hotel Z3</v>
      </c>
      <c r="E709" s="15"/>
      <c r="F709" s="15"/>
      <c r="G709" s="14">
        <v>45771</v>
      </c>
    </row>
    <row r="710" spans="1:7" x14ac:dyDescent="0.3">
      <c r="A710" t="str">
        <f t="shared" si="36"/>
        <v>Pereira</v>
      </c>
      <c r="B710" t="str">
        <f t="shared" si="37"/>
        <v>Hotel Z3</v>
      </c>
      <c r="E710" s="15"/>
      <c r="F710" s="15"/>
      <c r="G710" s="14">
        <v>45772</v>
      </c>
    </row>
    <row r="711" spans="1:7" x14ac:dyDescent="0.3">
      <c r="A711" t="str">
        <f t="shared" si="36"/>
        <v>Pereira</v>
      </c>
      <c r="B711" t="str">
        <f t="shared" si="37"/>
        <v>Hotel Z3</v>
      </c>
      <c r="E711" s="15"/>
      <c r="F711" s="15"/>
      <c r="G711" s="14">
        <v>45773</v>
      </c>
    </row>
    <row r="712" spans="1:7" x14ac:dyDescent="0.3">
      <c r="A712" t="str">
        <f t="shared" si="36"/>
        <v>Pereira</v>
      </c>
      <c r="B712" t="str">
        <f t="shared" si="37"/>
        <v>Hotel Z3</v>
      </c>
      <c r="E712" s="15"/>
      <c r="F712" s="15"/>
      <c r="G712" s="14">
        <v>45774</v>
      </c>
    </row>
    <row r="713" spans="1:7" x14ac:dyDescent="0.3">
      <c r="A713" t="str">
        <f t="shared" si="36"/>
        <v>Pereira</v>
      </c>
      <c r="B713" t="str">
        <f t="shared" si="37"/>
        <v>Hotel Z3</v>
      </c>
      <c r="E713" s="15"/>
      <c r="F713" s="15"/>
      <c r="G713" s="14">
        <v>45775</v>
      </c>
    </row>
    <row r="714" spans="1:7" x14ac:dyDescent="0.3">
      <c r="A714" t="str">
        <f t="shared" si="36"/>
        <v>Pereira</v>
      </c>
      <c r="B714" t="str">
        <f t="shared" si="37"/>
        <v>Hotel Z3</v>
      </c>
      <c r="E714" s="15"/>
      <c r="F714" s="15"/>
      <c r="G714" s="14">
        <v>45776</v>
      </c>
    </row>
    <row r="715" spans="1:7" x14ac:dyDescent="0.3">
      <c r="A715" t="str">
        <f t="shared" si="36"/>
        <v>Pereira</v>
      </c>
      <c r="B715" t="str">
        <f t="shared" si="37"/>
        <v>Hotel Z3</v>
      </c>
      <c r="E715" s="15"/>
      <c r="F715" s="15"/>
      <c r="G715" s="14">
        <v>45777</v>
      </c>
    </row>
    <row r="716" spans="1:7" x14ac:dyDescent="0.3">
      <c r="A716" t="s">
        <v>127</v>
      </c>
      <c r="B716" t="s">
        <v>106</v>
      </c>
      <c r="E716" s="15"/>
      <c r="F716" s="15"/>
      <c r="G716" s="14">
        <v>45736</v>
      </c>
    </row>
    <row r="717" spans="1:7" x14ac:dyDescent="0.3">
      <c r="A717" t="str">
        <f t="shared" ref="A717:A757" si="38">+A716</f>
        <v xml:space="preserve">Guatapé </v>
      </c>
      <c r="B717" t="str">
        <f t="shared" ref="B717:B757" si="39">+B716</f>
        <v>Hotel Portobelo Guatape</v>
      </c>
      <c r="E717" s="15"/>
      <c r="F717" s="15"/>
      <c r="G717" s="14">
        <v>45737</v>
      </c>
    </row>
    <row r="718" spans="1:7" x14ac:dyDescent="0.3">
      <c r="A718" t="str">
        <f t="shared" si="38"/>
        <v xml:space="preserve">Guatapé </v>
      </c>
      <c r="B718" t="str">
        <f t="shared" si="39"/>
        <v>Hotel Portobelo Guatape</v>
      </c>
      <c r="E718" s="15"/>
      <c r="F718" s="15"/>
      <c r="G718" s="14">
        <v>45738</v>
      </c>
    </row>
    <row r="719" spans="1:7" x14ac:dyDescent="0.3">
      <c r="A719" t="str">
        <f t="shared" si="38"/>
        <v xml:space="preserve">Guatapé </v>
      </c>
      <c r="B719" t="str">
        <f t="shared" si="39"/>
        <v>Hotel Portobelo Guatape</v>
      </c>
      <c r="E719" s="15"/>
      <c r="F719" s="15"/>
      <c r="G719" s="14">
        <v>45739</v>
      </c>
    </row>
    <row r="720" spans="1:7" x14ac:dyDescent="0.3">
      <c r="A720" t="str">
        <f t="shared" si="38"/>
        <v xml:space="preserve">Guatapé </v>
      </c>
      <c r="B720" t="str">
        <f t="shared" si="39"/>
        <v>Hotel Portobelo Guatape</v>
      </c>
      <c r="E720" s="15"/>
      <c r="F720" s="15"/>
      <c r="G720" s="14">
        <v>45740</v>
      </c>
    </row>
    <row r="721" spans="1:7" x14ac:dyDescent="0.3">
      <c r="A721" t="str">
        <f t="shared" si="38"/>
        <v xml:space="preserve">Guatapé </v>
      </c>
      <c r="B721" t="str">
        <f t="shared" si="39"/>
        <v>Hotel Portobelo Guatape</v>
      </c>
      <c r="E721" s="15"/>
      <c r="F721" s="15"/>
      <c r="G721" s="14">
        <v>45741</v>
      </c>
    </row>
    <row r="722" spans="1:7" x14ac:dyDescent="0.3">
      <c r="A722" t="str">
        <f t="shared" si="38"/>
        <v xml:space="preserve">Guatapé </v>
      </c>
      <c r="B722" t="str">
        <f t="shared" si="39"/>
        <v>Hotel Portobelo Guatape</v>
      </c>
      <c r="E722" s="15"/>
      <c r="F722" s="15"/>
      <c r="G722" s="14">
        <v>45742</v>
      </c>
    </row>
    <row r="723" spans="1:7" x14ac:dyDescent="0.3">
      <c r="A723" t="str">
        <f t="shared" si="38"/>
        <v xml:space="preserve">Guatapé </v>
      </c>
      <c r="B723" t="str">
        <f t="shared" si="39"/>
        <v>Hotel Portobelo Guatape</v>
      </c>
      <c r="E723" s="15"/>
      <c r="F723" s="15"/>
      <c r="G723" s="14">
        <v>45743</v>
      </c>
    </row>
    <row r="724" spans="1:7" x14ac:dyDescent="0.3">
      <c r="A724" t="str">
        <f t="shared" si="38"/>
        <v xml:space="preserve">Guatapé </v>
      </c>
      <c r="B724" t="str">
        <f t="shared" si="39"/>
        <v>Hotel Portobelo Guatape</v>
      </c>
      <c r="E724" s="15"/>
      <c r="F724" s="15"/>
      <c r="G724" s="14">
        <v>45744</v>
      </c>
    </row>
    <row r="725" spans="1:7" x14ac:dyDescent="0.3">
      <c r="A725" t="str">
        <f t="shared" si="38"/>
        <v xml:space="preserve">Guatapé </v>
      </c>
      <c r="B725" t="str">
        <f t="shared" si="39"/>
        <v>Hotel Portobelo Guatape</v>
      </c>
      <c r="E725" s="15"/>
      <c r="F725" s="15"/>
      <c r="G725" s="14">
        <v>45745</v>
      </c>
    </row>
    <row r="726" spans="1:7" x14ac:dyDescent="0.3">
      <c r="A726" t="str">
        <f t="shared" si="38"/>
        <v xml:space="preserve">Guatapé </v>
      </c>
      <c r="B726" t="str">
        <f t="shared" si="39"/>
        <v>Hotel Portobelo Guatape</v>
      </c>
      <c r="E726" s="15"/>
      <c r="F726" s="15"/>
      <c r="G726" s="14">
        <v>45746</v>
      </c>
    </row>
    <row r="727" spans="1:7" x14ac:dyDescent="0.3">
      <c r="A727" t="str">
        <f t="shared" si="38"/>
        <v xml:space="preserve">Guatapé </v>
      </c>
      <c r="B727" t="str">
        <f t="shared" si="39"/>
        <v>Hotel Portobelo Guatape</v>
      </c>
      <c r="E727" s="15"/>
      <c r="F727" s="15"/>
      <c r="G727" s="14">
        <v>45747</v>
      </c>
    </row>
    <row r="728" spans="1:7" x14ac:dyDescent="0.3">
      <c r="A728" t="str">
        <f t="shared" si="38"/>
        <v xml:space="preserve">Guatapé </v>
      </c>
      <c r="B728" t="str">
        <f t="shared" si="39"/>
        <v>Hotel Portobelo Guatape</v>
      </c>
      <c r="E728" s="15"/>
      <c r="F728" s="15"/>
      <c r="G728" s="14">
        <v>45748</v>
      </c>
    </row>
    <row r="729" spans="1:7" x14ac:dyDescent="0.3">
      <c r="A729" t="str">
        <f t="shared" si="38"/>
        <v xml:space="preserve">Guatapé </v>
      </c>
      <c r="B729" t="str">
        <f t="shared" si="39"/>
        <v>Hotel Portobelo Guatape</v>
      </c>
      <c r="E729" s="15"/>
      <c r="F729" s="15"/>
      <c r="G729" s="14">
        <v>45749</v>
      </c>
    </row>
    <row r="730" spans="1:7" x14ac:dyDescent="0.3">
      <c r="A730" t="str">
        <f t="shared" si="38"/>
        <v xml:space="preserve">Guatapé </v>
      </c>
      <c r="B730" t="str">
        <f t="shared" si="39"/>
        <v>Hotel Portobelo Guatape</v>
      </c>
      <c r="E730" s="15"/>
      <c r="F730" s="15"/>
      <c r="G730" s="14">
        <v>45750</v>
      </c>
    </row>
    <row r="731" spans="1:7" x14ac:dyDescent="0.3">
      <c r="A731" t="str">
        <f t="shared" si="38"/>
        <v xml:space="preserve">Guatapé </v>
      </c>
      <c r="B731" t="str">
        <f t="shared" si="39"/>
        <v>Hotel Portobelo Guatape</v>
      </c>
      <c r="E731" s="15"/>
      <c r="F731" s="15"/>
      <c r="G731" s="14">
        <v>45751</v>
      </c>
    </row>
    <row r="732" spans="1:7" x14ac:dyDescent="0.3">
      <c r="A732" t="str">
        <f t="shared" si="38"/>
        <v xml:space="preserve">Guatapé </v>
      </c>
      <c r="B732" t="str">
        <f t="shared" si="39"/>
        <v>Hotel Portobelo Guatape</v>
      </c>
      <c r="E732" s="15"/>
      <c r="F732" s="15"/>
      <c r="G732" s="14">
        <v>45752</v>
      </c>
    </row>
    <row r="733" spans="1:7" x14ac:dyDescent="0.3">
      <c r="A733" t="str">
        <f t="shared" si="38"/>
        <v xml:space="preserve">Guatapé </v>
      </c>
      <c r="B733" t="str">
        <f t="shared" si="39"/>
        <v>Hotel Portobelo Guatape</v>
      </c>
      <c r="E733" s="15"/>
      <c r="F733" s="15"/>
      <c r="G733" s="14">
        <v>45753</v>
      </c>
    </row>
    <row r="734" spans="1:7" x14ac:dyDescent="0.3">
      <c r="A734" t="str">
        <f t="shared" si="38"/>
        <v xml:space="preserve">Guatapé </v>
      </c>
      <c r="B734" t="str">
        <f t="shared" si="39"/>
        <v>Hotel Portobelo Guatape</v>
      </c>
      <c r="E734" s="15"/>
      <c r="F734" s="15"/>
      <c r="G734" s="14">
        <v>45754</v>
      </c>
    </row>
    <row r="735" spans="1:7" x14ac:dyDescent="0.3">
      <c r="A735" t="str">
        <f t="shared" si="38"/>
        <v xml:space="preserve">Guatapé </v>
      </c>
      <c r="B735" t="str">
        <f t="shared" si="39"/>
        <v>Hotel Portobelo Guatape</v>
      </c>
      <c r="E735" s="15"/>
      <c r="F735" s="15"/>
      <c r="G735" s="14">
        <v>45755</v>
      </c>
    </row>
    <row r="736" spans="1:7" x14ac:dyDescent="0.3">
      <c r="A736" t="str">
        <f t="shared" si="38"/>
        <v xml:space="preserve">Guatapé </v>
      </c>
      <c r="B736" t="str">
        <f t="shared" si="39"/>
        <v>Hotel Portobelo Guatape</v>
      </c>
      <c r="E736" s="15"/>
      <c r="F736" s="15"/>
      <c r="G736" s="14">
        <v>45756</v>
      </c>
    </row>
    <row r="737" spans="1:7" x14ac:dyDescent="0.3">
      <c r="A737" t="str">
        <f t="shared" si="38"/>
        <v xml:space="preserve">Guatapé </v>
      </c>
      <c r="B737" t="str">
        <f t="shared" si="39"/>
        <v>Hotel Portobelo Guatape</v>
      </c>
      <c r="E737" s="15"/>
      <c r="F737" s="15"/>
      <c r="G737" s="14">
        <v>45757</v>
      </c>
    </row>
    <row r="738" spans="1:7" x14ac:dyDescent="0.3">
      <c r="A738" t="str">
        <f t="shared" si="38"/>
        <v xml:space="preserve">Guatapé </v>
      </c>
      <c r="B738" t="str">
        <f t="shared" si="39"/>
        <v>Hotel Portobelo Guatape</v>
      </c>
      <c r="E738" s="15"/>
      <c r="F738" s="15"/>
      <c r="G738" s="14">
        <v>45758</v>
      </c>
    </row>
    <row r="739" spans="1:7" x14ac:dyDescent="0.3">
      <c r="A739" t="str">
        <f t="shared" si="38"/>
        <v xml:space="preserve">Guatapé </v>
      </c>
      <c r="B739" t="str">
        <f t="shared" si="39"/>
        <v>Hotel Portobelo Guatape</v>
      </c>
      <c r="E739" s="15"/>
      <c r="F739" s="15"/>
      <c r="G739" s="14">
        <v>45759</v>
      </c>
    </row>
    <row r="740" spans="1:7" x14ac:dyDescent="0.3">
      <c r="A740" t="str">
        <f t="shared" si="38"/>
        <v xml:space="preserve">Guatapé </v>
      </c>
      <c r="B740" t="str">
        <f t="shared" si="39"/>
        <v>Hotel Portobelo Guatape</v>
      </c>
      <c r="E740" s="15"/>
      <c r="F740" s="15"/>
      <c r="G740" s="14">
        <v>45760</v>
      </c>
    </row>
    <row r="741" spans="1:7" x14ac:dyDescent="0.3">
      <c r="A741" t="str">
        <f t="shared" si="38"/>
        <v xml:space="preserve">Guatapé </v>
      </c>
      <c r="B741" t="str">
        <f t="shared" si="39"/>
        <v>Hotel Portobelo Guatape</v>
      </c>
      <c r="E741" s="15"/>
      <c r="F741" s="15"/>
      <c r="G741" s="14">
        <v>45761</v>
      </c>
    </row>
    <row r="742" spans="1:7" x14ac:dyDescent="0.3">
      <c r="A742" t="str">
        <f t="shared" si="38"/>
        <v xml:space="preserve">Guatapé </v>
      </c>
      <c r="B742" t="str">
        <f t="shared" si="39"/>
        <v>Hotel Portobelo Guatape</v>
      </c>
      <c r="E742" s="15"/>
      <c r="F742" s="15"/>
      <c r="G742" s="14">
        <v>45762</v>
      </c>
    </row>
    <row r="743" spans="1:7" x14ac:dyDescent="0.3">
      <c r="A743" t="str">
        <f t="shared" si="38"/>
        <v xml:space="preserve">Guatapé </v>
      </c>
      <c r="B743" t="str">
        <f t="shared" si="39"/>
        <v>Hotel Portobelo Guatape</v>
      </c>
      <c r="E743" s="15"/>
      <c r="F743" s="15"/>
      <c r="G743" s="14">
        <v>45763</v>
      </c>
    </row>
    <row r="744" spans="1:7" x14ac:dyDescent="0.3">
      <c r="A744" t="str">
        <f t="shared" si="38"/>
        <v xml:space="preserve">Guatapé </v>
      </c>
      <c r="B744" t="str">
        <f t="shared" si="39"/>
        <v>Hotel Portobelo Guatape</v>
      </c>
      <c r="E744" s="15"/>
      <c r="F744" s="15"/>
      <c r="G744" s="14">
        <v>45764</v>
      </c>
    </row>
    <row r="745" spans="1:7" x14ac:dyDescent="0.3">
      <c r="A745" t="str">
        <f t="shared" si="38"/>
        <v xml:space="preserve">Guatapé </v>
      </c>
      <c r="B745" t="str">
        <f t="shared" si="39"/>
        <v>Hotel Portobelo Guatape</v>
      </c>
      <c r="E745" s="15"/>
      <c r="F745" s="15"/>
      <c r="G745" s="14">
        <v>45765</v>
      </c>
    </row>
    <row r="746" spans="1:7" x14ac:dyDescent="0.3">
      <c r="A746" t="str">
        <f t="shared" si="38"/>
        <v xml:space="preserve">Guatapé </v>
      </c>
      <c r="B746" t="str">
        <f t="shared" si="39"/>
        <v>Hotel Portobelo Guatape</v>
      </c>
      <c r="E746" s="15"/>
      <c r="F746" s="15"/>
      <c r="G746" s="14">
        <v>45766</v>
      </c>
    </row>
    <row r="747" spans="1:7" x14ac:dyDescent="0.3">
      <c r="A747" t="str">
        <f t="shared" si="38"/>
        <v xml:space="preserve">Guatapé </v>
      </c>
      <c r="B747" t="str">
        <f t="shared" si="39"/>
        <v>Hotel Portobelo Guatape</v>
      </c>
      <c r="E747" s="15"/>
      <c r="F747" s="15"/>
      <c r="G747" s="14">
        <v>45767</v>
      </c>
    </row>
    <row r="748" spans="1:7" x14ac:dyDescent="0.3">
      <c r="A748" t="str">
        <f t="shared" si="38"/>
        <v xml:space="preserve">Guatapé </v>
      </c>
      <c r="B748" t="str">
        <f t="shared" si="39"/>
        <v>Hotel Portobelo Guatape</v>
      </c>
      <c r="E748" s="15"/>
      <c r="F748" s="15"/>
      <c r="G748" s="14">
        <v>45768</v>
      </c>
    </row>
    <row r="749" spans="1:7" x14ac:dyDescent="0.3">
      <c r="A749" t="str">
        <f t="shared" si="38"/>
        <v xml:space="preserve">Guatapé </v>
      </c>
      <c r="B749" t="str">
        <f t="shared" si="39"/>
        <v>Hotel Portobelo Guatape</v>
      </c>
      <c r="E749" s="15"/>
      <c r="F749" s="15"/>
      <c r="G749" s="14">
        <v>45769</v>
      </c>
    </row>
    <row r="750" spans="1:7" x14ac:dyDescent="0.3">
      <c r="A750" t="str">
        <f t="shared" si="38"/>
        <v xml:space="preserve">Guatapé </v>
      </c>
      <c r="B750" t="str">
        <f t="shared" si="39"/>
        <v>Hotel Portobelo Guatape</v>
      </c>
      <c r="E750" s="15"/>
      <c r="F750" s="15"/>
      <c r="G750" s="14">
        <v>45770</v>
      </c>
    </row>
    <row r="751" spans="1:7" x14ac:dyDescent="0.3">
      <c r="A751" t="str">
        <f t="shared" si="38"/>
        <v xml:space="preserve">Guatapé </v>
      </c>
      <c r="B751" t="str">
        <f t="shared" si="39"/>
        <v>Hotel Portobelo Guatape</v>
      </c>
      <c r="E751" s="15"/>
      <c r="F751" s="15"/>
      <c r="G751" s="14">
        <v>45771</v>
      </c>
    </row>
    <row r="752" spans="1:7" x14ac:dyDescent="0.3">
      <c r="A752" t="str">
        <f t="shared" si="38"/>
        <v xml:space="preserve">Guatapé </v>
      </c>
      <c r="B752" t="str">
        <f t="shared" si="39"/>
        <v>Hotel Portobelo Guatape</v>
      </c>
      <c r="E752" s="15"/>
      <c r="F752" s="15"/>
      <c r="G752" s="14">
        <v>45772</v>
      </c>
    </row>
    <row r="753" spans="1:7" x14ac:dyDescent="0.3">
      <c r="A753" t="str">
        <f t="shared" si="38"/>
        <v xml:space="preserve">Guatapé </v>
      </c>
      <c r="B753" t="str">
        <f t="shared" si="39"/>
        <v>Hotel Portobelo Guatape</v>
      </c>
      <c r="E753" s="15"/>
      <c r="F753" s="15"/>
      <c r="G753" s="14">
        <v>45773</v>
      </c>
    </row>
    <row r="754" spans="1:7" x14ac:dyDescent="0.3">
      <c r="A754" t="str">
        <f t="shared" si="38"/>
        <v xml:space="preserve">Guatapé </v>
      </c>
      <c r="B754" t="str">
        <f t="shared" si="39"/>
        <v>Hotel Portobelo Guatape</v>
      </c>
      <c r="E754" s="15"/>
      <c r="F754" s="15"/>
      <c r="G754" s="14">
        <v>45774</v>
      </c>
    </row>
    <row r="755" spans="1:7" x14ac:dyDescent="0.3">
      <c r="A755" t="str">
        <f t="shared" si="38"/>
        <v xml:space="preserve">Guatapé </v>
      </c>
      <c r="B755" t="str">
        <f t="shared" si="39"/>
        <v>Hotel Portobelo Guatape</v>
      </c>
      <c r="E755" s="15"/>
      <c r="F755" s="15"/>
      <c r="G755" s="14">
        <v>45775</v>
      </c>
    </row>
    <row r="756" spans="1:7" x14ac:dyDescent="0.3">
      <c r="A756" t="str">
        <f t="shared" si="38"/>
        <v xml:space="preserve">Guatapé </v>
      </c>
      <c r="B756" t="str">
        <f t="shared" si="39"/>
        <v>Hotel Portobelo Guatape</v>
      </c>
      <c r="E756" s="15"/>
      <c r="F756" s="15"/>
      <c r="G756" s="14">
        <v>45776</v>
      </c>
    </row>
    <row r="757" spans="1:7" x14ac:dyDescent="0.3">
      <c r="A757" t="str">
        <f t="shared" si="38"/>
        <v xml:space="preserve">Guatapé </v>
      </c>
      <c r="B757" t="str">
        <f t="shared" si="39"/>
        <v>Hotel Portobelo Guatape</v>
      </c>
      <c r="E757" s="15"/>
      <c r="F757" s="15"/>
      <c r="G757" s="14">
        <v>45777</v>
      </c>
    </row>
  </sheetData>
  <hyperlinks>
    <hyperlink ref="B296" r:id="rId1" display="https://www.booking.com/hotel/co/omaga.es.html?label=metagha-link-LUCO-hotel-6316547_dev-desktop_los-1_bw-9_dow-Thursday_defdate-0_room-0_gstadt-2_rateid-public_aud-0_gacid-21415124842_mcid-10_ppa-0_clrid-0_ad-1_gstkid-0_checkin-20241128_ppt-Co_lp-2170_r-4994707831949072125&amp;sid=1ceb258b5da5325b1f375fc1eb8f6953&amp;utm_source=metagha&amp;utm_medium=localuniversal&amp;utm_term=hotel-6316547&amp;utm_content=dev-desktop_los-1_bw-9_dow-Thursday_defdate-0_room-0_gstadt-2_rateid-public_aud-0_gacid-21415124842_mcid-10_ppa-0_clrid-0_ad-1_gstkid-0_checkin-20241128_ppt-Co&amp;utm_campaign=CO&amp;gclid=Cj0KCQiAi_G5BhDXARIsAN5SX7o45HMfbv9Du7i_-j1GdzKiVOFGIyr1YKksvuiXYTylNBYLKm0yOdcaAtpSEALw_wcB&amp;aid=356938&amp;ucfs=1&amp;arphpl=1&amp;checkin=2024-11-28&amp;checkout=2024-11-29&amp;dest_id=900058844&amp;dest_type=city&amp;group_adults=2&amp;req_adults=2&amp;no_rooms=1&amp;group_children=0&amp;req_children=0&amp;hpos=1&amp;hapos=1&amp;sr_order=popularity&amp;srpvid=e982a5d7809901c1&amp;srepoch=1732059371&amp;all_sr_blocks=631654701_403431312_2_2_0_703336&amp;highlighted_blocks=631654701_403431312_2_2_0_703336&amp;matching_block_id=631654701_403431312_2_2_0_703336&amp;sr_pri_blocks=631654701_403431312_2_2_0_703336_13440000&amp;from=searchresults" xr:uid="{1D296D33-ADC5-46D5-AE35-4086ADF27066}"/>
    <hyperlink ref="B338" r:id="rId2" display="https://www.booking.com/hotel/co/stay.es.html?label=gog235jc-1DCAsoMkIEc3RheUgKWANoMogBAZgBCrgBGMgBDNgBA-gBAfgBAogCAagCBLgCoML0uQbAAgHSAiQxZTM1MDgxZS1lODRhLTQyMWYtODgxYy1lNzI3YTIxMzkyYjXYAgTgAgE&amp;sid=1ceb258b5da5325b1f375fc1eb8f6953&amp;aid=356980&amp;ucfs=1&amp;arphpl=1&amp;checkin=2024-11-21&amp;checkout=2024-11-22&amp;dest_id=-585862&amp;dest_type=city&amp;group_adults=1&amp;req_adults=1&amp;no_rooms=1&amp;group_children=0&amp;req_children=0&amp;hpos=1&amp;hapos=1&amp;sr_order=popularity&amp;srpvid=127ea610a0e30240&amp;srepoch=1732059482&amp;all_sr_blocks=1112627201_394827974_1_0_0&amp;highlighted_blocks=1112627201_394827974_1_0_0&amp;matching_block_id=1112627201_394827974_1_0_0&amp;sr_pri_blocks=1112627201_394827974_1_0_0__11760000&amp;from_sustainable_property_sr=1&amp;from=searchresults" xr:uid="{29FEE117-6FDD-42A7-B6A6-835743E5E5A4}"/>
    <hyperlink ref="B380" r:id="rId3" display="https://www.booking.com/hotel/co/san-simon-glamping.es.html?label=gog235jc-1DCAsoMkISc2FuLXNpbW9uLWdsYW1waW5nSApYA2gyiAEBmAEKuAEYyAEM2AED6AEB-AECiAIBqAIEuALKyvS5BsACAdICJGRhOWU1YjNmLTM5MzItNGIxZS1hMDUwLWYyYTRjMGYzNmY2NNgCBOACAQ&amp;sid=1ceb258b5da5325b1f375fc1eb8f6953&amp;aid=356980&amp;ucfs=1&amp;arphpl=1&amp;checkin=2024-11-21&amp;checkout=2024-11-22&amp;dest_id=-585862&amp;dest_type=city&amp;group_adults=1&amp;req_adults=1&amp;no_rooms=1&amp;group_children=0&amp;req_children=0&amp;hpos=1&amp;hapos=1&amp;sr_order=popularity&amp;srpvid=2454a8257e62031b&amp;srepoch=1732060537&amp;all_sr_blocks=1064978104_378886258_2_0_0&amp;highlighted_blocks=1064978104_378886258_2_0_0&amp;matching_block_id=1064978104_378886258_2_0_0&amp;sr_pri_blocks=1064978104_378886258_2_0_0__20800000&amp;from=searchresults" xr:uid="{F8B4B915-61DA-471E-A846-247AEA03EA76}"/>
    <hyperlink ref="B422" r:id="rId4" display="https://www.booking.com/hotel/co/glmping-5-elementos-el-penol-a-30-minutos-de-guatape.es.html?label=gog235jc-1DCAsoMkI0Z2xtcGluZy01LWVsZW1lbnRvcy1lbC1wZW5vbC1hLTMwLW1pbnV0b3MtZGUtZ3VhdGFwZUgKWANoMogBAZgBCrgBGMgBDNgBA-gBAfgBAogCAagCBLgCytH0uQbAAgHSAiQ1ZDRmYjA0Yi1kYjM4LTQ5YzctODI5ZC0yYTJlNzA0MDViNDDYAgTgAgE&amp;sid=1ceb258b5da5325b1f375fc1eb8f6953&amp;aid=356980&amp;ucfs=1&amp;arphpl=1&amp;checkin=2024-11-21&amp;checkout=2024-11-22&amp;dest_id=900058844&amp;dest_type=city&amp;group_adults=1&amp;req_adults=1&amp;no_rooms=1&amp;group_children=0&amp;req_children=0&amp;hpos=1&amp;hapos=1&amp;sr_order=popularity&amp;srpvid=52520125a579028e&amp;srepoch=1732061433&amp;all_sr_blocks=1261771001_401045264_2_1_0_637070&amp;highlighted_blocks=1261771001_401045264_2_1_0_637070&amp;matching_block_id=1261771001_401045264_2_1_0_637070&amp;sr_pri_blocks=1261771001_401045264_2_1_0_637070_30800000&amp;from_sustainable_property_sr=1&amp;from=searchresults" xr:uid="{9FCB6CD5-45EA-443C-A952-2AF60623615F}"/>
    <hyperlink ref="B464" r:id="rId5" display="https://www.booking.com/hotel/co/finca-con-jacuzzi-a-15min-de-guatape.es.html?label=gog235jc-1BCAsoMkIkZmluY2EtY29uLWphY3V6emktYS0xNW1pbi1kZS1ndWF0YXBlSFJYA2gyiAEBmAEKuAEYyAEM2AEB6AEBiAIBqAIEuAK80vS5BsACAdICJDRhZmQ0YTAxLWM0ZTgtNGNhZC04OGU1LTMzNDllMWZkN2U1M9gCBeACAQ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9fc2015f23080068&amp;srepoch=1732061550&amp;all_sr_blocks=1277805301_400689207_10_0_0&amp;highlighted_blocks=1277805301_400689207_10_0_0&amp;matching_block_id=1277805301_400689207_10_0_0&amp;sr_pri_blocks=1277805301_400689207_10_0_0__80000000&amp;from=searchresults" xr:uid="{7D4AC9F5-6A11-48E0-B173-3A25829AFA7C}"/>
    <hyperlink ref="B506" r:id="rId6" display="https://www.booking.com/hotel/co/finca-parcelacion-alemania-1.es.html?label=gog235jc-1BCAsoMkIcZmluY2EtcGFyY2VsYWNpb24tYWxlbWFuaWEtMUgEWANoMogBAZgBCrgBGMgBDNgBAegBAYgCAagCBLgCsNP0uQbAAgHSAiRmYzZlZGIyYS03MTgyLTQ5OGMtYmE5MC00YzE3ODAyNGEwNGLYAgXgAgE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c826019951a600bc&amp;srepoch=1732061666&amp;all_sr_blocks=1293010901_402244377_4_0_0&amp;highlighted_blocks=1293010901_402244377_4_0_0&amp;matching_block_id=1293010901_402244377_4_0_0&amp;sr_pri_blocks=1293010901_402244377_4_0_0__40000000&amp;from=searchresults" xr:uid="{B3296356-961D-405F-A78E-4BB85300611F}"/>
    <hyperlink ref="B254" r:id="rId7" display="https://www.booking.com/hotel/co/cabanas-navegar.es-mx.html?label=Spanish_Colombia_ES_CO_20153959105-JvWA_BiunE_YalmU9PDZ_QS640874832178%3Apl%3Ata%3Ap1%3Ap2%3Aac%3Aap%3Aneg%3Afi%3Atidsa-162435870265%3Alp20198%3Ali%3Adec%3Adm%3Aag20153959105%3Acmp313803625&amp;sid=1ceb258b5da5325b1f375fc1eb8f6953&amp;aid=318615&amp;ucfs=1&amp;arphpl=1&amp;checkin=2025-01-16&amp;checkout=2025-01-17&amp;dest_id=-585862&amp;dest_type=city&amp;group_adults=2&amp;req_adults=2&amp;no_rooms=1&amp;group_children=1&amp;req_children=1&amp;age=1&amp;req_age=1&amp;hpos=1&amp;hapos=1&amp;sr_order=popularity&amp;srpvid=93d05827e77d073c&amp;srepoch=1734611241&amp;all_sr_blocks=953678210_384057531_5_0_0&amp;highlighted_blocks=953678210_384057531_5_0_0&amp;matching_block_id=953678210_384057531_5_0_0&amp;sr_pri_blocks=953678210_384057531_5_0_0__31900000&amp;from=searchresults" xr:uid="{85293BBC-9896-4106-BF71-55444FC76ADA}"/>
    <hyperlink ref="B716" r:id="rId8" display="https://www.booking.com/hotel/co/portobelo-guatape.es.html?label=English_Colombia_EN_CO_29562107545-_WDZKP6aira3zHoJLRwvgQS217246346796%3Apl%3Ata%3Ap1%3Ap2%3Aac%3Aap%3Aneg%3Afi55625023303%3Atidsa-323233910078%3Alp20198%3Ali%3Adec%3Adm&amp;sid=93fa566f322f808be7ab10c4661acff5&amp;aid=318615&amp;ucfs=1&amp;arphpl=1&amp;group_adults=2&amp;req_adults=2&amp;no_rooms=1&amp;group_children=0&amp;req_children=0&amp;hpos=8&amp;hapos=8&amp;sr_order=distance_from_search&amp;srpvid=229b6189d75b001e&amp;srepoch=1739800347&amp;from=searchresults" xr:uid="{7B02ABFE-4ADB-489E-9430-90D746DDC150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Cliente</vt:lpstr>
      <vt:lpstr>Competencia</vt:lpstr>
      <vt:lpstr>provisional_template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Gutierrez</dc:creator>
  <cp:lastModifiedBy>Usuario</cp:lastModifiedBy>
  <dcterms:created xsi:type="dcterms:W3CDTF">2024-11-04T15:55:22Z</dcterms:created>
  <dcterms:modified xsi:type="dcterms:W3CDTF">2025-04-11T17:06:03Z</dcterms:modified>
</cp:coreProperties>
</file>