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6\Gesglos\booking_scraper\app\database\"/>
    </mc:Choice>
  </mc:AlternateContent>
  <xr:revisionPtr revIDLastSave="0" documentId="13_ncr:1_{39684F42-15D1-4A64-AC05-679E74D060C9}" xr6:coauthVersionLast="47" xr6:coauthVersionMax="47" xr10:uidLastSave="{00000000-0000-0000-0000-000000000000}"/>
  <bookViews>
    <workbookView xWindow="-108" yWindow="-108" windowWidth="21336" windowHeight="11376" xr2:uid="{9E98B23C-6360-4275-ADF1-08EC9DEFEBC7}"/>
  </bookViews>
  <sheets>
    <sheet name="Cliente" sheetId="1" r:id="rId1"/>
    <sheet name="Competencia" sheetId="2" r:id="rId2"/>
    <sheet name="provisional_template" sheetId="3" r:id="rId3"/>
  </sheets>
  <definedNames>
    <definedName name="Clientes">Cliente[Hotel]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693" i="3" l="1"/>
  <c r="A400" i="3"/>
  <c r="A401" i="3" s="1"/>
  <c r="A402" i="3" s="1"/>
  <c r="A403" i="3" s="1"/>
  <c r="A404" i="3" s="1"/>
  <c r="A405" i="3" s="1"/>
  <c r="A406" i="3" s="1"/>
  <c r="A407" i="3" s="1"/>
  <c r="A408" i="3" s="1"/>
  <c r="A409" i="3" s="1"/>
  <c r="A410" i="3" s="1"/>
  <c r="A411" i="3" s="1"/>
  <c r="A412" i="3" s="1"/>
  <c r="A413" i="3" s="1"/>
  <c r="A414" i="3" s="1"/>
  <c r="A415" i="3" s="1"/>
  <c r="A416" i="3" s="1"/>
  <c r="A417" i="3" s="1"/>
  <c r="A418" i="3" s="1"/>
  <c r="A419" i="3" s="1"/>
  <c r="A420" i="3" s="1"/>
  <c r="A421" i="3" s="1"/>
  <c r="A422" i="3" s="1"/>
  <c r="A423" i="3" s="1"/>
  <c r="A424" i="3" s="1"/>
  <c r="A425" i="3" s="1"/>
  <c r="A426" i="3" s="1"/>
  <c r="A427" i="3" s="1"/>
  <c r="A428" i="3" s="1"/>
  <c r="A429" i="3" s="1"/>
  <c r="A430" i="3" s="1"/>
  <c r="A431" i="3" s="1"/>
  <c r="A432" i="3" s="1"/>
  <c r="A433" i="3" s="1"/>
  <c r="A434" i="3" s="1"/>
  <c r="A435" i="3" s="1"/>
  <c r="A436" i="3" s="1"/>
  <c r="A437" i="3" s="1"/>
  <c r="A438" i="3" s="1"/>
  <c r="A439" i="3" s="1"/>
  <c r="A440" i="3" s="1"/>
  <c r="B400" i="3"/>
  <c r="B401" i="3" s="1"/>
  <c r="B402" i="3" s="1"/>
  <c r="B403" i="3" s="1"/>
  <c r="B404" i="3" s="1"/>
  <c r="B405" i="3" s="1"/>
  <c r="B406" i="3" s="1"/>
  <c r="B407" i="3" s="1"/>
  <c r="B408" i="3" s="1"/>
  <c r="B409" i="3" s="1"/>
  <c r="B410" i="3" s="1"/>
  <c r="B411" i="3" s="1"/>
  <c r="B412" i="3" s="1"/>
  <c r="B413" i="3" s="1"/>
  <c r="B414" i="3" s="1"/>
  <c r="B415" i="3" s="1"/>
  <c r="B416" i="3" s="1"/>
  <c r="B417" i="3" s="1"/>
  <c r="B418" i="3" s="1"/>
  <c r="B419" i="3" s="1"/>
  <c r="B420" i="3" s="1"/>
  <c r="B421" i="3" s="1"/>
  <c r="B422" i="3" s="1"/>
  <c r="B423" i="3" s="1"/>
  <c r="B424" i="3" s="1"/>
  <c r="B425" i="3" s="1"/>
  <c r="B426" i="3" s="1"/>
  <c r="B427" i="3" s="1"/>
  <c r="B428" i="3" s="1"/>
  <c r="B429" i="3" s="1"/>
  <c r="B430" i="3" s="1"/>
  <c r="B431" i="3" s="1"/>
  <c r="B432" i="3" s="1"/>
  <c r="B433" i="3" s="1"/>
  <c r="B434" i="3" s="1"/>
  <c r="B435" i="3" s="1"/>
  <c r="B436" i="3" s="1"/>
  <c r="B437" i="3" s="1"/>
  <c r="B438" i="3" s="1"/>
  <c r="B439" i="3" s="1"/>
  <c r="B440" i="3" s="1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B190" i="3"/>
  <c r="B191" i="3" s="1"/>
  <c r="B192" i="3" s="1"/>
  <c r="B193" i="3" s="1"/>
  <c r="B194" i="3" s="1"/>
  <c r="B195" i="3" s="1"/>
  <c r="B196" i="3" s="1"/>
  <c r="B197" i="3" s="1"/>
  <c r="B198" i="3" s="1"/>
  <c r="B199" i="3" s="1"/>
  <c r="B200" i="3" s="1"/>
  <c r="B201" i="3" s="1"/>
  <c r="B202" i="3" s="1"/>
  <c r="B203" i="3" s="1"/>
  <c r="B204" i="3" s="1"/>
  <c r="B205" i="3" s="1"/>
  <c r="B206" i="3" s="1"/>
  <c r="B207" i="3" s="1"/>
  <c r="B208" i="3" s="1"/>
  <c r="B209" i="3" s="1"/>
  <c r="B210" i="3" s="1"/>
  <c r="B211" i="3" s="1"/>
  <c r="B212" i="3" s="1"/>
  <c r="B213" i="3" s="1"/>
  <c r="B214" i="3" s="1"/>
  <c r="B215" i="3" s="1"/>
  <c r="B216" i="3" s="1"/>
  <c r="B217" i="3" s="1"/>
  <c r="B218" i="3" s="1"/>
  <c r="B219" i="3" s="1"/>
  <c r="B220" i="3" s="1"/>
  <c r="B221" i="3" s="1"/>
  <c r="B222" i="3" s="1"/>
  <c r="B223" i="3" s="1"/>
  <c r="B224" i="3" s="1"/>
  <c r="B225" i="3" s="1"/>
  <c r="B226" i="3" s="1"/>
  <c r="B227" i="3" s="1"/>
  <c r="B228" i="3" s="1"/>
  <c r="B229" i="3" s="1"/>
  <c r="B230" i="3" s="1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5" i="3"/>
  <c r="B46" i="3" s="1"/>
  <c r="B47" i="3" s="1"/>
  <c r="B48" i="3" s="1"/>
  <c r="B49" i="3" s="1"/>
  <c r="B50" i="3" s="1"/>
  <c r="B51" i="3" s="1"/>
  <c r="B52" i="3" s="1"/>
  <c r="B53" i="3" s="1"/>
  <c r="B54" i="3" s="1"/>
  <c r="B55" i="3" s="1"/>
  <c r="B56" i="3" s="1"/>
  <c r="B57" i="3" s="1"/>
  <c r="B58" i="3" s="1"/>
  <c r="B59" i="3" s="1"/>
  <c r="B60" i="3" s="1"/>
  <c r="B61" i="3" s="1"/>
  <c r="B62" i="3" s="1"/>
  <c r="B63" i="3" s="1"/>
  <c r="B64" i="3" s="1"/>
  <c r="B65" i="3" s="1"/>
  <c r="B66" i="3" s="1"/>
  <c r="B67" i="3" s="1"/>
  <c r="B68" i="3" s="1"/>
  <c r="B69" i="3" s="1"/>
  <c r="B70" i="3" s="1"/>
  <c r="B71" i="3" s="1"/>
  <c r="B72" i="3" s="1"/>
  <c r="B73" i="3" s="1"/>
  <c r="B74" i="3" s="1"/>
  <c r="B75" i="3" s="1"/>
  <c r="B76" i="3" s="1"/>
  <c r="B77" i="3" s="1"/>
  <c r="B78" i="3" s="1"/>
  <c r="B79" i="3" s="1"/>
  <c r="B80" i="3" s="1"/>
  <c r="B81" i="3" s="1"/>
  <c r="B82" i="3" s="1"/>
  <c r="B83" i="3" s="1"/>
  <c r="B84" i="3" s="1"/>
  <c r="B85" i="3" s="1"/>
  <c r="B87" i="3"/>
  <c r="B88" i="3" s="1"/>
  <c r="B89" i="3" s="1"/>
  <c r="B90" i="3" s="1"/>
  <c r="B91" i="3" s="1"/>
  <c r="B92" i="3" s="1"/>
  <c r="B93" i="3" s="1"/>
  <c r="B94" i="3" s="1"/>
  <c r="B95" i="3" s="1"/>
  <c r="B96" i="3" s="1"/>
  <c r="B97" i="3" s="1"/>
  <c r="B98" i="3" s="1"/>
  <c r="B99" i="3" s="1"/>
  <c r="B100" i="3" s="1"/>
  <c r="B101" i="3" s="1"/>
  <c r="B102" i="3" s="1"/>
  <c r="B103" i="3" s="1"/>
  <c r="B104" i="3" s="1"/>
  <c r="B105" i="3" s="1"/>
  <c r="B106" i="3" s="1"/>
  <c r="B107" i="3" s="1"/>
  <c r="B108" i="3" s="1"/>
  <c r="B109" i="3" s="1"/>
  <c r="B110" i="3" s="1"/>
  <c r="B111" i="3" s="1"/>
  <c r="B112" i="3" s="1"/>
  <c r="B113" i="3" s="1"/>
  <c r="B114" i="3" s="1"/>
  <c r="B115" i="3" s="1"/>
  <c r="B116" i="3" s="1"/>
  <c r="B117" i="3" s="1"/>
  <c r="B118" i="3" s="1"/>
  <c r="B119" i="3" s="1"/>
  <c r="B120" i="3" s="1"/>
  <c r="B121" i="3" s="1"/>
  <c r="B122" i="3" s="1"/>
  <c r="B123" i="3" s="1"/>
  <c r="B124" i="3" s="1"/>
  <c r="B125" i="3" s="1"/>
  <c r="B126" i="3" s="1"/>
  <c r="B127" i="3" s="1"/>
  <c r="B129" i="3"/>
  <c r="B130" i="3" s="1"/>
  <c r="B131" i="3" s="1"/>
  <c r="B132" i="3" s="1"/>
  <c r="B133" i="3" s="1"/>
  <c r="B134" i="3" s="1"/>
  <c r="B135" i="3" s="1"/>
  <c r="B136" i="3" s="1"/>
  <c r="B137" i="3" s="1"/>
  <c r="B138" i="3" s="1"/>
  <c r="B139" i="3" s="1"/>
  <c r="B140" i="3" s="1"/>
  <c r="B141" i="3" s="1"/>
  <c r="B142" i="3" s="1"/>
  <c r="B143" i="3" s="1"/>
  <c r="B144" i="3" s="1"/>
  <c r="B145" i="3" s="1"/>
  <c r="B146" i="3" s="1"/>
  <c r="B147" i="3" s="1"/>
  <c r="B148" i="3" s="1"/>
  <c r="B149" i="3" s="1"/>
  <c r="B150" i="3" s="1"/>
  <c r="B151" i="3" s="1"/>
  <c r="B152" i="3" s="1"/>
  <c r="B153" i="3" s="1"/>
  <c r="B154" i="3" s="1"/>
  <c r="B155" i="3" s="1"/>
  <c r="B156" i="3" s="1"/>
  <c r="B157" i="3" s="1"/>
  <c r="B158" i="3" s="1"/>
  <c r="B159" i="3" s="1"/>
  <c r="B160" i="3" s="1"/>
  <c r="B165" i="3" s="1"/>
  <c r="B170" i="3" s="1"/>
  <c r="B175" i="3" s="1"/>
  <c r="B232" i="3"/>
  <c r="B233" i="3" s="1"/>
  <c r="B234" i="3" s="1"/>
  <c r="B235" i="3" s="1"/>
  <c r="B236" i="3" s="1"/>
  <c r="B237" i="3" s="1"/>
  <c r="B238" i="3" s="1"/>
  <c r="B239" i="3" s="1"/>
  <c r="B240" i="3" s="1"/>
  <c r="B241" i="3" s="1"/>
  <c r="B242" i="3" s="1"/>
  <c r="B243" i="3" s="1"/>
  <c r="B244" i="3" s="1"/>
  <c r="B245" i="3" s="1"/>
  <c r="B246" i="3" s="1"/>
  <c r="B247" i="3" s="1"/>
  <c r="B248" i="3" s="1"/>
  <c r="B249" i="3" s="1"/>
  <c r="B250" i="3" s="1"/>
  <c r="B251" i="3" s="1"/>
  <c r="B252" i="3" s="1"/>
  <c r="B253" i="3" s="1"/>
  <c r="B254" i="3" s="1"/>
  <c r="B255" i="3" s="1"/>
  <c r="B256" i="3" s="1"/>
  <c r="B257" i="3" s="1"/>
  <c r="B258" i="3" s="1"/>
  <c r="B259" i="3" s="1"/>
  <c r="B260" i="3" s="1"/>
  <c r="B261" i="3" s="1"/>
  <c r="B262" i="3" s="1"/>
  <c r="B263" i="3" s="1"/>
  <c r="B264" i="3" s="1"/>
  <c r="B265" i="3" s="1"/>
  <c r="B266" i="3" s="1"/>
  <c r="B267" i="3" s="1"/>
  <c r="B268" i="3" s="1"/>
  <c r="B269" i="3" s="1"/>
  <c r="B270" i="3" s="1"/>
  <c r="B271" i="3" s="1"/>
  <c r="B272" i="3" s="1"/>
  <c r="B274" i="3"/>
  <c r="B275" i="3" s="1"/>
  <c r="B276" i="3" s="1"/>
  <c r="B277" i="3" s="1"/>
  <c r="B278" i="3" s="1"/>
  <c r="B279" i="3" s="1"/>
  <c r="B280" i="3" s="1"/>
  <c r="B281" i="3" s="1"/>
  <c r="B282" i="3" s="1"/>
  <c r="B283" i="3" s="1"/>
  <c r="B284" i="3" s="1"/>
  <c r="B285" i="3" s="1"/>
  <c r="B286" i="3" s="1"/>
  <c r="B287" i="3" s="1"/>
  <c r="B288" i="3" s="1"/>
  <c r="B289" i="3" s="1"/>
  <c r="B290" i="3" s="1"/>
  <c r="B291" i="3" s="1"/>
  <c r="B292" i="3" s="1"/>
  <c r="B293" i="3" s="1"/>
  <c r="B294" i="3" s="1"/>
  <c r="B295" i="3" s="1"/>
  <c r="B296" i="3" s="1"/>
  <c r="B297" i="3" s="1"/>
  <c r="B298" i="3" s="1"/>
  <c r="B299" i="3" s="1"/>
  <c r="B300" i="3" s="1"/>
  <c r="B301" i="3" s="1"/>
  <c r="B302" i="3" s="1"/>
  <c r="B303" i="3" s="1"/>
  <c r="B304" i="3" s="1"/>
  <c r="B305" i="3" s="1"/>
  <c r="B306" i="3" s="1"/>
  <c r="B307" i="3" s="1"/>
  <c r="B308" i="3" s="1"/>
  <c r="B309" i="3" s="1"/>
  <c r="B310" i="3" s="1"/>
  <c r="B311" i="3" s="1"/>
  <c r="B312" i="3" s="1"/>
  <c r="B313" i="3" s="1"/>
  <c r="B314" i="3" s="1"/>
  <c r="B316" i="3"/>
  <c r="B317" i="3" s="1"/>
  <c r="B318" i="3" s="1"/>
  <c r="B319" i="3" s="1"/>
  <c r="B320" i="3" s="1"/>
  <c r="B321" i="3" s="1"/>
  <c r="B322" i="3" s="1"/>
  <c r="B323" i="3" s="1"/>
  <c r="B324" i="3" s="1"/>
  <c r="B325" i="3" s="1"/>
  <c r="B326" i="3" s="1"/>
  <c r="B327" i="3" s="1"/>
  <c r="B328" i="3" s="1"/>
  <c r="B329" i="3" s="1"/>
  <c r="B330" i="3" s="1"/>
  <c r="B331" i="3" s="1"/>
  <c r="B332" i="3" s="1"/>
  <c r="B333" i="3" s="1"/>
  <c r="B334" i="3" s="1"/>
  <c r="B335" i="3" s="1"/>
  <c r="B336" i="3" s="1"/>
  <c r="B337" i="3" s="1"/>
  <c r="B338" i="3" s="1"/>
  <c r="B339" i="3" s="1"/>
  <c r="B340" i="3" s="1"/>
  <c r="B341" i="3" s="1"/>
  <c r="B342" i="3" s="1"/>
  <c r="B343" i="3" s="1"/>
  <c r="B344" i="3" s="1"/>
  <c r="B345" i="3" s="1"/>
  <c r="B346" i="3" s="1"/>
  <c r="B347" i="3" s="1"/>
  <c r="B348" i="3" s="1"/>
  <c r="B349" i="3" s="1"/>
  <c r="B350" i="3" s="1"/>
  <c r="B351" i="3" s="1"/>
  <c r="B352" i="3" s="1"/>
  <c r="B353" i="3" s="1"/>
  <c r="B354" i="3" s="1"/>
  <c r="B355" i="3" s="1"/>
  <c r="B356" i="3" s="1"/>
  <c r="B442" i="3"/>
  <c r="B443" i="3" s="1"/>
  <c r="B444" i="3" s="1"/>
  <c r="B445" i="3" s="1"/>
  <c r="B446" i="3" s="1"/>
  <c r="B447" i="3" s="1"/>
  <c r="B448" i="3" s="1"/>
  <c r="B449" i="3" s="1"/>
  <c r="B450" i="3" s="1"/>
  <c r="B451" i="3" s="1"/>
  <c r="B452" i="3" s="1"/>
  <c r="B453" i="3" s="1"/>
  <c r="B454" i="3" s="1"/>
  <c r="B455" i="3" s="1"/>
  <c r="B456" i="3" s="1"/>
  <c r="B457" i="3" s="1"/>
  <c r="B458" i="3" s="1"/>
  <c r="B459" i="3" s="1"/>
  <c r="B460" i="3" s="1"/>
  <c r="B461" i="3" s="1"/>
  <c r="B462" i="3" s="1"/>
  <c r="B463" i="3" s="1"/>
  <c r="B464" i="3" s="1"/>
  <c r="B465" i="3" s="1"/>
  <c r="B466" i="3" s="1"/>
  <c r="B467" i="3" s="1"/>
  <c r="B468" i="3" s="1"/>
  <c r="B469" i="3" s="1"/>
  <c r="B470" i="3" s="1"/>
  <c r="B471" i="3" s="1"/>
  <c r="B472" i="3" s="1"/>
  <c r="B473" i="3" s="1"/>
  <c r="B474" i="3" s="1"/>
  <c r="B475" i="3" s="1"/>
  <c r="B476" i="3" s="1"/>
  <c r="B477" i="3" s="1"/>
  <c r="B478" i="3" s="1"/>
  <c r="B479" i="3" s="1"/>
  <c r="B480" i="3" s="1"/>
  <c r="B481" i="3" s="1"/>
  <c r="B482" i="3" s="1"/>
  <c r="B484" i="3"/>
  <c r="B485" i="3" s="1"/>
  <c r="B486" i="3" s="1"/>
  <c r="B487" i="3" s="1"/>
  <c r="B488" i="3" s="1"/>
  <c r="B489" i="3" s="1"/>
  <c r="B490" i="3" s="1"/>
  <c r="B491" i="3" s="1"/>
  <c r="B492" i="3" s="1"/>
  <c r="B493" i="3" s="1"/>
  <c r="B494" i="3" s="1"/>
  <c r="B495" i="3" s="1"/>
  <c r="B496" i="3" s="1"/>
  <c r="B497" i="3" s="1"/>
  <c r="B498" i="3" s="1"/>
  <c r="B499" i="3" s="1"/>
  <c r="B500" i="3" s="1"/>
  <c r="B501" i="3" s="1"/>
  <c r="B502" i="3" s="1"/>
  <c r="B503" i="3" s="1"/>
  <c r="B504" i="3" s="1"/>
  <c r="B505" i="3" s="1"/>
  <c r="B506" i="3" s="1"/>
  <c r="B507" i="3" s="1"/>
  <c r="B508" i="3" s="1"/>
  <c r="B509" i="3" s="1"/>
  <c r="B510" i="3" s="1"/>
  <c r="B511" i="3" s="1"/>
  <c r="B512" i="3" s="1"/>
  <c r="B513" i="3" s="1"/>
  <c r="B514" i="3" s="1"/>
  <c r="B515" i="3" s="1"/>
  <c r="B516" i="3" s="1"/>
  <c r="B517" i="3" s="1"/>
  <c r="B518" i="3" s="1"/>
  <c r="B519" i="3" s="1"/>
  <c r="B520" i="3" s="1"/>
  <c r="B521" i="3" s="1"/>
  <c r="B522" i="3" s="1"/>
  <c r="B523" i="3" s="1"/>
  <c r="B524" i="3" s="1"/>
  <c r="B526" i="3"/>
  <c r="B527" i="3" s="1"/>
  <c r="B528" i="3" s="1"/>
  <c r="B529" i="3" s="1"/>
  <c r="B530" i="3" s="1"/>
  <c r="B531" i="3" s="1"/>
  <c r="B532" i="3" s="1"/>
  <c r="B533" i="3" s="1"/>
  <c r="B534" i="3" s="1"/>
  <c r="B535" i="3" s="1"/>
  <c r="B536" i="3" s="1"/>
  <c r="B537" i="3" s="1"/>
  <c r="B538" i="3" s="1"/>
  <c r="B539" i="3" s="1"/>
  <c r="B540" i="3" s="1"/>
  <c r="B541" i="3" s="1"/>
  <c r="B542" i="3" s="1"/>
  <c r="B543" i="3" s="1"/>
  <c r="B544" i="3" s="1"/>
  <c r="B545" i="3" s="1"/>
  <c r="B546" i="3" s="1"/>
  <c r="B547" i="3" s="1"/>
  <c r="B548" i="3" s="1"/>
  <c r="B549" i="3" s="1"/>
  <c r="B550" i="3" s="1"/>
  <c r="B551" i="3" s="1"/>
  <c r="B552" i="3" s="1"/>
  <c r="B553" i="3" s="1"/>
  <c r="B554" i="3" s="1"/>
  <c r="B555" i="3" s="1"/>
  <c r="B556" i="3" s="1"/>
  <c r="B557" i="3" s="1"/>
  <c r="B558" i="3" s="1"/>
  <c r="B559" i="3" s="1"/>
  <c r="B560" i="3" s="1"/>
  <c r="B561" i="3" s="1"/>
  <c r="B562" i="3" s="1"/>
  <c r="B563" i="3" s="1"/>
  <c r="B564" i="3" s="1"/>
  <c r="B565" i="3" s="1"/>
  <c r="B566" i="3" s="1"/>
  <c r="B568" i="3"/>
  <c r="B569" i="3" s="1"/>
  <c r="B570" i="3" s="1"/>
  <c r="B571" i="3" s="1"/>
  <c r="B572" i="3" s="1"/>
  <c r="B573" i="3" s="1"/>
  <c r="B574" i="3" s="1"/>
  <c r="B575" i="3" s="1"/>
  <c r="B576" i="3" s="1"/>
  <c r="B577" i="3" s="1"/>
  <c r="B578" i="3" s="1"/>
  <c r="B579" i="3" s="1"/>
  <c r="B580" i="3" s="1"/>
  <c r="B581" i="3" s="1"/>
  <c r="B582" i="3" s="1"/>
  <c r="B583" i="3" s="1"/>
  <c r="B584" i="3" s="1"/>
  <c r="B585" i="3" s="1"/>
  <c r="B586" i="3" s="1"/>
  <c r="B587" i="3" s="1"/>
  <c r="B588" i="3" s="1"/>
  <c r="B589" i="3" s="1"/>
  <c r="B590" i="3" s="1"/>
  <c r="B591" i="3" s="1"/>
  <c r="B592" i="3" s="1"/>
  <c r="B593" i="3" s="1"/>
  <c r="B594" i="3" s="1"/>
  <c r="B595" i="3" s="1"/>
  <c r="B596" i="3" s="1"/>
  <c r="B597" i="3" s="1"/>
  <c r="B598" i="3" s="1"/>
  <c r="B599" i="3" s="1"/>
  <c r="B600" i="3" s="1"/>
  <c r="B601" i="3" s="1"/>
  <c r="B602" i="3" s="1"/>
  <c r="B603" i="3" s="1"/>
  <c r="B604" i="3" s="1"/>
  <c r="B605" i="3" s="1"/>
  <c r="B606" i="3" s="1"/>
  <c r="B607" i="3" s="1"/>
  <c r="B608" i="3" s="1"/>
  <c r="B609" i="3" s="1"/>
  <c r="B610" i="3" s="1"/>
  <c r="B611" i="3" s="1"/>
  <c r="B612" i="3" s="1"/>
  <c r="B613" i="3" s="1"/>
  <c r="B614" i="3" s="1"/>
  <c r="B615" i="3" s="1"/>
  <c r="B616" i="3" s="1"/>
  <c r="B617" i="3" s="1"/>
  <c r="B618" i="3" s="1"/>
  <c r="B619" i="3" s="1"/>
  <c r="B620" i="3" s="1"/>
  <c r="B621" i="3" s="1"/>
  <c r="B622" i="3" s="1"/>
  <c r="B623" i="3" s="1"/>
  <c r="B624" i="3" s="1"/>
  <c r="B625" i="3" s="1"/>
  <c r="B626" i="3" s="1"/>
  <c r="B627" i="3" s="1"/>
  <c r="B628" i="3" s="1"/>
  <c r="B629" i="3" s="1"/>
  <c r="B630" i="3" s="1"/>
  <c r="B631" i="3" s="1"/>
  <c r="B632" i="3" s="1"/>
  <c r="B633" i="3" s="1"/>
  <c r="B634" i="3" s="1"/>
  <c r="B635" i="3" s="1"/>
  <c r="B636" i="3" s="1"/>
  <c r="B637" i="3" s="1"/>
  <c r="B638" i="3" s="1"/>
  <c r="B639" i="3" s="1"/>
  <c r="B640" i="3" s="1"/>
  <c r="B641" i="3" s="1"/>
  <c r="B642" i="3" s="1"/>
  <c r="B643" i="3" s="1"/>
  <c r="B644" i="3" s="1"/>
  <c r="B645" i="3" s="1"/>
  <c r="B646" i="3" s="1"/>
  <c r="B647" i="3" s="1"/>
  <c r="B648" i="3" s="1"/>
  <c r="B649" i="3" s="1"/>
  <c r="B650" i="3" s="1"/>
  <c r="B652" i="3"/>
  <c r="B653" i="3" s="1"/>
  <c r="B654" i="3" s="1"/>
  <c r="B655" i="3" s="1"/>
  <c r="B656" i="3" s="1"/>
  <c r="B657" i="3" s="1"/>
  <c r="B658" i="3" s="1"/>
  <c r="B659" i="3" s="1"/>
  <c r="B660" i="3" s="1"/>
  <c r="B661" i="3" s="1"/>
  <c r="B662" i="3" s="1"/>
  <c r="B663" i="3" s="1"/>
  <c r="B664" i="3" s="1"/>
  <c r="B665" i="3" s="1"/>
  <c r="B666" i="3" s="1"/>
  <c r="B667" i="3" s="1"/>
  <c r="B668" i="3" s="1"/>
  <c r="B669" i="3" s="1"/>
  <c r="B670" i="3" s="1"/>
  <c r="B671" i="3" s="1"/>
  <c r="B672" i="3" s="1"/>
  <c r="B673" i="3" s="1"/>
  <c r="B674" i="3" s="1"/>
  <c r="B675" i="3" s="1"/>
  <c r="B676" i="3" s="1"/>
  <c r="B677" i="3" s="1"/>
  <c r="B678" i="3" s="1"/>
  <c r="B679" i="3" s="1"/>
  <c r="B680" i="3" s="1"/>
  <c r="B681" i="3" s="1"/>
  <c r="B682" i="3" s="1"/>
  <c r="B683" i="3" s="1"/>
  <c r="B684" i="3" s="1"/>
  <c r="B685" i="3" s="1"/>
  <c r="B686" i="3" s="1"/>
  <c r="B687" i="3" s="1"/>
  <c r="B688" i="3" s="1"/>
  <c r="B689" i="3" s="1"/>
  <c r="B690" i="3" s="1"/>
  <c r="B691" i="3" s="1"/>
  <c r="B692" i="3" s="1"/>
  <c r="B694" i="3"/>
  <c r="B695" i="3" s="1"/>
  <c r="B696" i="3" s="1"/>
  <c r="B697" i="3" s="1"/>
  <c r="B698" i="3" s="1"/>
  <c r="B699" i="3" s="1"/>
  <c r="B700" i="3" s="1"/>
  <c r="B701" i="3" s="1"/>
  <c r="B702" i="3" s="1"/>
  <c r="B703" i="3" s="1"/>
  <c r="B704" i="3" s="1"/>
  <c r="B705" i="3" s="1"/>
  <c r="B706" i="3" s="1"/>
  <c r="B707" i="3" s="1"/>
  <c r="B708" i="3" s="1"/>
  <c r="B709" i="3" s="1"/>
  <c r="B710" i="3" s="1"/>
  <c r="B711" i="3" s="1"/>
  <c r="B712" i="3" s="1"/>
  <c r="B713" i="3" s="1"/>
  <c r="B714" i="3" s="1"/>
  <c r="B715" i="3" s="1"/>
  <c r="B716" i="3" s="1"/>
  <c r="B717" i="3" s="1"/>
  <c r="B718" i="3" s="1"/>
  <c r="B719" i="3" s="1"/>
  <c r="B720" i="3" s="1"/>
  <c r="B721" i="3" s="1"/>
  <c r="B722" i="3" s="1"/>
  <c r="B723" i="3" s="1"/>
  <c r="B724" i="3" s="1"/>
  <c r="B725" i="3" s="1"/>
  <c r="B726" i="3" s="1"/>
  <c r="B727" i="3" s="1"/>
  <c r="B728" i="3" s="1"/>
  <c r="B729" i="3" s="1"/>
  <c r="B730" i="3" s="1"/>
  <c r="B731" i="3" s="1"/>
  <c r="B732" i="3" s="1"/>
  <c r="B733" i="3" s="1"/>
  <c r="B734" i="3" s="1"/>
  <c r="B736" i="3"/>
  <c r="B737" i="3" s="1"/>
  <c r="B738" i="3" s="1"/>
  <c r="B739" i="3" s="1"/>
  <c r="B740" i="3" s="1"/>
  <c r="B741" i="3" s="1"/>
  <c r="B742" i="3" s="1"/>
  <c r="B743" i="3" s="1"/>
  <c r="B744" i="3" s="1"/>
  <c r="B745" i="3" s="1"/>
  <c r="B746" i="3" s="1"/>
  <c r="B747" i="3" s="1"/>
  <c r="B748" i="3" s="1"/>
  <c r="B749" i="3" s="1"/>
  <c r="B750" i="3" s="1"/>
  <c r="B751" i="3" s="1"/>
  <c r="B752" i="3" s="1"/>
  <c r="B753" i="3" s="1"/>
  <c r="B754" i="3" s="1"/>
  <c r="B755" i="3" s="1"/>
  <c r="B756" i="3" s="1"/>
  <c r="B757" i="3" s="1"/>
  <c r="B758" i="3" s="1"/>
  <c r="B759" i="3" s="1"/>
  <c r="B760" i="3" s="1"/>
  <c r="B761" i="3" s="1"/>
  <c r="B762" i="3" s="1"/>
  <c r="B763" i="3" s="1"/>
  <c r="B764" i="3" s="1"/>
  <c r="B765" i="3" s="1"/>
  <c r="B766" i="3" s="1"/>
  <c r="B767" i="3" s="1"/>
  <c r="B768" i="3" s="1"/>
  <c r="B769" i="3" s="1"/>
  <c r="B770" i="3" s="1"/>
  <c r="B771" i="3" s="1"/>
  <c r="B772" i="3" s="1"/>
  <c r="B773" i="3" s="1"/>
  <c r="B774" i="3" s="1"/>
  <c r="B775" i="3" s="1"/>
  <c r="B776" i="3" s="1"/>
  <c r="A3" i="3"/>
  <c r="A4" i="3" s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5" i="3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7" i="3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9" i="3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90" i="3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2" i="3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A253" i="3" s="1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4" i="3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  <c r="A291" i="3" s="1"/>
  <c r="A292" i="3" s="1"/>
  <c r="A293" i="3" s="1"/>
  <c r="A294" i="3" s="1"/>
  <c r="A295" i="3" s="1"/>
  <c r="A296" i="3" s="1"/>
  <c r="A297" i="3" s="1"/>
  <c r="A298" i="3" s="1"/>
  <c r="A299" i="3" s="1"/>
  <c r="A300" i="3" s="1"/>
  <c r="A301" i="3" s="1"/>
  <c r="A302" i="3" s="1"/>
  <c r="A303" i="3" s="1"/>
  <c r="A304" i="3" s="1"/>
  <c r="A305" i="3" s="1"/>
  <c r="A306" i="3" s="1"/>
  <c r="A307" i="3" s="1"/>
  <c r="A308" i="3" s="1"/>
  <c r="A309" i="3" s="1"/>
  <c r="A310" i="3" s="1"/>
  <c r="A311" i="3" s="1"/>
  <c r="A312" i="3" s="1"/>
  <c r="A313" i="3" s="1"/>
  <c r="A314" i="3" s="1"/>
  <c r="A316" i="3"/>
  <c r="A317" i="3" s="1"/>
  <c r="A318" i="3" s="1"/>
  <c r="A319" i="3" s="1"/>
  <c r="A320" i="3" s="1"/>
  <c r="A321" i="3" s="1"/>
  <c r="A322" i="3" s="1"/>
  <c r="A323" i="3" s="1"/>
  <c r="A324" i="3" s="1"/>
  <c r="A325" i="3" s="1"/>
  <c r="A326" i="3" s="1"/>
  <c r="A327" i="3" s="1"/>
  <c r="A328" i="3" s="1"/>
  <c r="A329" i="3" s="1"/>
  <c r="A330" i="3" s="1"/>
  <c r="A331" i="3" s="1"/>
  <c r="A332" i="3" s="1"/>
  <c r="A333" i="3" s="1"/>
  <c r="A334" i="3" s="1"/>
  <c r="A335" i="3" s="1"/>
  <c r="A336" i="3" s="1"/>
  <c r="A337" i="3" s="1"/>
  <c r="A338" i="3" s="1"/>
  <c r="A339" i="3" s="1"/>
  <c r="A340" i="3" s="1"/>
  <c r="A341" i="3" s="1"/>
  <c r="A342" i="3" s="1"/>
  <c r="A343" i="3" s="1"/>
  <c r="A344" i="3" s="1"/>
  <c r="A345" i="3" s="1"/>
  <c r="A346" i="3" s="1"/>
  <c r="A347" i="3" s="1"/>
  <c r="A348" i="3" s="1"/>
  <c r="A349" i="3" s="1"/>
  <c r="A350" i="3" s="1"/>
  <c r="A351" i="3" s="1"/>
  <c r="A352" i="3" s="1"/>
  <c r="A353" i="3" s="1"/>
  <c r="A354" i="3" s="1"/>
  <c r="A355" i="3" s="1"/>
  <c r="A356" i="3" s="1"/>
  <c r="A442" i="3"/>
  <c r="A443" i="3" s="1"/>
  <c r="A444" i="3" s="1"/>
  <c r="A445" i="3" s="1"/>
  <c r="A446" i="3" s="1"/>
  <c r="A447" i="3" s="1"/>
  <c r="A448" i="3" s="1"/>
  <c r="A449" i="3" s="1"/>
  <c r="A450" i="3" s="1"/>
  <c r="A451" i="3" s="1"/>
  <c r="A452" i="3" s="1"/>
  <c r="A453" i="3" s="1"/>
  <c r="A454" i="3" s="1"/>
  <c r="A455" i="3" s="1"/>
  <c r="A456" i="3" s="1"/>
  <c r="A457" i="3" s="1"/>
  <c r="A458" i="3" s="1"/>
  <c r="A459" i="3" s="1"/>
  <c r="A460" i="3" s="1"/>
  <c r="A461" i="3" s="1"/>
  <c r="A462" i="3" s="1"/>
  <c r="A463" i="3" s="1"/>
  <c r="A464" i="3" s="1"/>
  <c r="A465" i="3" s="1"/>
  <c r="A466" i="3" s="1"/>
  <c r="A467" i="3" s="1"/>
  <c r="A468" i="3" s="1"/>
  <c r="A469" i="3" s="1"/>
  <c r="A470" i="3" s="1"/>
  <c r="A471" i="3" s="1"/>
  <c r="A472" i="3" s="1"/>
  <c r="A473" i="3" s="1"/>
  <c r="A474" i="3" s="1"/>
  <c r="A475" i="3" s="1"/>
  <c r="A476" i="3" s="1"/>
  <c r="A477" i="3" s="1"/>
  <c r="A478" i="3" s="1"/>
  <c r="A479" i="3" s="1"/>
  <c r="A480" i="3" s="1"/>
  <c r="A481" i="3" s="1"/>
  <c r="A482" i="3" s="1"/>
  <c r="A484" i="3"/>
  <c r="A485" i="3" s="1"/>
  <c r="A486" i="3" s="1"/>
  <c r="A487" i="3" s="1"/>
  <c r="A488" i="3" s="1"/>
  <c r="A489" i="3" s="1"/>
  <c r="A490" i="3" s="1"/>
  <c r="A491" i="3" s="1"/>
  <c r="A492" i="3" s="1"/>
  <c r="A493" i="3" s="1"/>
  <c r="A494" i="3" s="1"/>
  <c r="A495" i="3" s="1"/>
  <c r="A496" i="3" s="1"/>
  <c r="A497" i="3" s="1"/>
  <c r="A498" i="3" s="1"/>
  <c r="A499" i="3" s="1"/>
  <c r="A500" i="3" s="1"/>
  <c r="A501" i="3" s="1"/>
  <c r="A502" i="3" s="1"/>
  <c r="A503" i="3" s="1"/>
  <c r="A504" i="3" s="1"/>
  <c r="A505" i="3" s="1"/>
  <c r="A506" i="3" s="1"/>
  <c r="A507" i="3" s="1"/>
  <c r="A508" i="3" s="1"/>
  <c r="A509" i="3" s="1"/>
  <c r="A510" i="3" s="1"/>
  <c r="A511" i="3" s="1"/>
  <c r="A512" i="3" s="1"/>
  <c r="A513" i="3" s="1"/>
  <c r="A514" i="3" s="1"/>
  <c r="A515" i="3" s="1"/>
  <c r="A516" i="3" s="1"/>
  <c r="A517" i="3" s="1"/>
  <c r="A518" i="3" s="1"/>
  <c r="A519" i="3" s="1"/>
  <c r="A520" i="3" s="1"/>
  <c r="A521" i="3" s="1"/>
  <c r="A522" i="3" s="1"/>
  <c r="A523" i="3" s="1"/>
  <c r="A524" i="3" s="1"/>
  <c r="A526" i="3"/>
  <c r="A527" i="3" s="1"/>
  <c r="A528" i="3" s="1"/>
  <c r="A529" i="3" s="1"/>
  <c r="A530" i="3" s="1"/>
  <c r="A531" i="3" s="1"/>
  <c r="A532" i="3" s="1"/>
  <c r="A533" i="3" s="1"/>
  <c r="A534" i="3" s="1"/>
  <c r="A535" i="3" s="1"/>
  <c r="A536" i="3" s="1"/>
  <c r="A537" i="3" s="1"/>
  <c r="A538" i="3" s="1"/>
  <c r="A539" i="3" s="1"/>
  <c r="A540" i="3" s="1"/>
  <c r="A541" i="3" s="1"/>
  <c r="A542" i="3" s="1"/>
  <c r="A543" i="3" s="1"/>
  <c r="A544" i="3" s="1"/>
  <c r="A545" i="3" s="1"/>
  <c r="A546" i="3" s="1"/>
  <c r="A547" i="3" s="1"/>
  <c r="A548" i="3" s="1"/>
  <c r="A549" i="3" s="1"/>
  <c r="A550" i="3" s="1"/>
  <c r="A551" i="3" s="1"/>
  <c r="A552" i="3" s="1"/>
  <c r="A553" i="3" s="1"/>
  <c r="A554" i="3" s="1"/>
  <c r="A555" i="3" s="1"/>
  <c r="A556" i="3" s="1"/>
  <c r="A557" i="3" s="1"/>
  <c r="A558" i="3" s="1"/>
  <c r="A559" i="3" s="1"/>
  <c r="A560" i="3" s="1"/>
  <c r="A561" i="3" s="1"/>
  <c r="A562" i="3" s="1"/>
  <c r="A563" i="3" s="1"/>
  <c r="A564" i="3" s="1"/>
  <c r="A565" i="3" s="1"/>
  <c r="A566" i="3" s="1"/>
  <c r="A568" i="3"/>
  <c r="A569" i="3" s="1"/>
  <c r="A570" i="3" s="1"/>
  <c r="A571" i="3" s="1"/>
  <c r="A572" i="3" s="1"/>
  <c r="A573" i="3" s="1"/>
  <c r="A574" i="3" s="1"/>
  <c r="A575" i="3" s="1"/>
  <c r="A576" i="3" s="1"/>
  <c r="A577" i="3" s="1"/>
  <c r="A578" i="3" s="1"/>
  <c r="A579" i="3" s="1"/>
  <c r="A580" i="3" s="1"/>
  <c r="A581" i="3" s="1"/>
  <c r="A582" i="3" s="1"/>
  <c r="A583" i="3" s="1"/>
  <c r="A584" i="3" s="1"/>
  <c r="A585" i="3" s="1"/>
  <c r="A586" i="3" s="1"/>
  <c r="A587" i="3" s="1"/>
  <c r="A588" i="3" s="1"/>
  <c r="A589" i="3" s="1"/>
  <c r="A590" i="3" s="1"/>
  <c r="A591" i="3" s="1"/>
  <c r="A592" i="3" s="1"/>
  <c r="A593" i="3" s="1"/>
  <c r="A594" i="3" s="1"/>
  <c r="A595" i="3" s="1"/>
  <c r="A596" i="3" s="1"/>
  <c r="A597" i="3" s="1"/>
  <c r="A598" i="3" s="1"/>
  <c r="A599" i="3" s="1"/>
  <c r="A600" i="3" s="1"/>
  <c r="A601" i="3" s="1"/>
  <c r="A602" i="3" s="1"/>
  <c r="A603" i="3" s="1"/>
  <c r="A604" i="3" s="1"/>
  <c r="A605" i="3" s="1"/>
  <c r="A606" i="3" s="1"/>
  <c r="A607" i="3" s="1"/>
  <c r="A608" i="3" s="1"/>
  <c r="A609" i="3" s="1"/>
  <c r="A610" i="3" s="1"/>
  <c r="A611" i="3" s="1"/>
  <c r="A612" i="3" s="1"/>
  <c r="A613" i="3" s="1"/>
  <c r="A614" i="3" s="1"/>
  <c r="A615" i="3" s="1"/>
  <c r="A616" i="3" s="1"/>
  <c r="A617" i="3" s="1"/>
  <c r="A618" i="3" s="1"/>
  <c r="A619" i="3" s="1"/>
  <c r="A620" i="3" s="1"/>
  <c r="A621" i="3" s="1"/>
  <c r="A622" i="3" s="1"/>
  <c r="A623" i="3" s="1"/>
  <c r="A624" i="3" s="1"/>
  <c r="A625" i="3" s="1"/>
  <c r="A626" i="3" s="1"/>
  <c r="A627" i="3" s="1"/>
  <c r="A628" i="3" s="1"/>
  <c r="A629" i="3" s="1"/>
  <c r="A630" i="3" s="1"/>
  <c r="A631" i="3" s="1"/>
  <c r="A632" i="3" s="1"/>
  <c r="A633" i="3" s="1"/>
  <c r="A634" i="3" s="1"/>
  <c r="A635" i="3" s="1"/>
  <c r="A636" i="3" s="1"/>
  <c r="A637" i="3" s="1"/>
  <c r="A638" i="3" s="1"/>
  <c r="A639" i="3" s="1"/>
  <c r="A640" i="3" s="1"/>
  <c r="A641" i="3" s="1"/>
  <c r="A642" i="3" s="1"/>
  <c r="A643" i="3" s="1"/>
  <c r="A644" i="3" s="1"/>
  <c r="A645" i="3" s="1"/>
  <c r="A646" i="3" s="1"/>
  <c r="A647" i="3" s="1"/>
  <c r="A648" i="3" s="1"/>
  <c r="A649" i="3" s="1"/>
  <c r="A650" i="3" s="1"/>
  <c r="A652" i="3"/>
  <c r="A653" i="3" s="1"/>
  <c r="A654" i="3" s="1"/>
  <c r="A655" i="3" s="1"/>
  <c r="A656" i="3" s="1"/>
  <c r="A657" i="3" s="1"/>
  <c r="A658" i="3" s="1"/>
  <c r="A659" i="3" s="1"/>
  <c r="A660" i="3" s="1"/>
  <c r="A661" i="3" s="1"/>
  <c r="A662" i="3" s="1"/>
  <c r="A663" i="3" s="1"/>
  <c r="A664" i="3" s="1"/>
  <c r="A665" i="3" s="1"/>
  <c r="A666" i="3" s="1"/>
  <c r="A667" i="3" s="1"/>
  <c r="A668" i="3" s="1"/>
  <c r="A669" i="3" s="1"/>
  <c r="A670" i="3" s="1"/>
  <c r="A671" i="3" s="1"/>
  <c r="A672" i="3" s="1"/>
  <c r="A673" i="3" s="1"/>
  <c r="A674" i="3" s="1"/>
  <c r="A675" i="3" s="1"/>
  <c r="A676" i="3" s="1"/>
  <c r="A677" i="3" s="1"/>
  <c r="A678" i="3" s="1"/>
  <c r="A679" i="3" s="1"/>
  <c r="A680" i="3" s="1"/>
  <c r="A681" i="3" s="1"/>
  <c r="A682" i="3" s="1"/>
  <c r="A683" i="3" s="1"/>
  <c r="A684" i="3" s="1"/>
  <c r="A685" i="3" s="1"/>
  <c r="A686" i="3" s="1"/>
  <c r="A687" i="3" s="1"/>
  <c r="A688" i="3" s="1"/>
  <c r="A689" i="3" s="1"/>
  <c r="A690" i="3" s="1"/>
  <c r="A691" i="3" s="1"/>
  <c r="A692" i="3" s="1"/>
  <c r="A694" i="3"/>
  <c r="A695" i="3" s="1"/>
  <c r="A696" i="3" s="1"/>
  <c r="A697" i="3" s="1"/>
  <c r="A698" i="3" s="1"/>
  <c r="A699" i="3" s="1"/>
  <c r="A700" i="3" s="1"/>
  <c r="A701" i="3" s="1"/>
  <c r="A702" i="3" s="1"/>
  <c r="A703" i="3" s="1"/>
  <c r="A704" i="3" s="1"/>
  <c r="A705" i="3" s="1"/>
  <c r="A706" i="3" s="1"/>
  <c r="A707" i="3" s="1"/>
  <c r="A708" i="3" s="1"/>
  <c r="A709" i="3" s="1"/>
  <c r="A710" i="3" s="1"/>
  <c r="A711" i="3" s="1"/>
  <c r="A712" i="3" s="1"/>
  <c r="A713" i="3" s="1"/>
  <c r="A714" i="3" s="1"/>
  <c r="A715" i="3" s="1"/>
  <c r="A716" i="3" s="1"/>
  <c r="A717" i="3" s="1"/>
  <c r="A718" i="3" s="1"/>
  <c r="A719" i="3" s="1"/>
  <c r="A720" i="3" s="1"/>
  <c r="A721" i="3" s="1"/>
  <c r="A722" i="3" s="1"/>
  <c r="A723" i="3" s="1"/>
  <c r="A724" i="3" s="1"/>
  <c r="A725" i="3" s="1"/>
  <c r="A726" i="3" s="1"/>
  <c r="A727" i="3" s="1"/>
  <c r="A728" i="3" s="1"/>
  <c r="A729" i="3" s="1"/>
  <c r="A730" i="3" s="1"/>
  <c r="A731" i="3" s="1"/>
  <c r="A732" i="3" s="1"/>
  <c r="A733" i="3" s="1"/>
  <c r="A734" i="3" s="1"/>
  <c r="A736" i="3"/>
  <c r="A737" i="3" s="1"/>
  <c r="A738" i="3" s="1"/>
  <c r="A739" i="3" s="1"/>
  <c r="A740" i="3" s="1"/>
  <c r="A741" i="3" s="1"/>
  <c r="A742" i="3" s="1"/>
  <c r="A743" i="3" s="1"/>
  <c r="A744" i="3" s="1"/>
  <c r="A745" i="3" s="1"/>
  <c r="A746" i="3" s="1"/>
  <c r="A747" i="3" s="1"/>
  <c r="A748" i="3" s="1"/>
  <c r="A749" i="3" s="1"/>
  <c r="A750" i="3" s="1"/>
  <c r="A751" i="3" s="1"/>
  <c r="A752" i="3" s="1"/>
  <c r="A753" i="3" s="1"/>
  <c r="A754" i="3" s="1"/>
  <c r="A755" i="3" s="1"/>
  <c r="A756" i="3" s="1"/>
  <c r="A757" i="3" s="1"/>
  <c r="A758" i="3" s="1"/>
  <c r="A759" i="3" s="1"/>
  <c r="A760" i="3" s="1"/>
  <c r="A761" i="3" s="1"/>
  <c r="A762" i="3" s="1"/>
  <c r="A763" i="3" s="1"/>
  <c r="A764" i="3" s="1"/>
  <c r="A765" i="3" s="1"/>
  <c r="A766" i="3" s="1"/>
  <c r="A767" i="3" s="1"/>
  <c r="A768" i="3" s="1"/>
  <c r="A769" i="3" s="1"/>
  <c r="A770" i="3" s="1"/>
  <c r="A771" i="3" s="1"/>
  <c r="A772" i="3" s="1"/>
  <c r="A773" i="3" s="1"/>
  <c r="A774" i="3" s="1"/>
  <c r="A775" i="3" s="1"/>
  <c r="A776" i="3" s="1"/>
  <c r="D2" i="2"/>
  <c r="B161" i="3" l="1"/>
  <c r="B166" i="3" s="1"/>
  <c r="B171" i="3" s="1"/>
  <c r="B176" i="3" s="1"/>
  <c r="B181" i="3" s="1"/>
  <c r="B182" i="3" s="1"/>
  <c r="B183" i="3" s="1"/>
  <c r="B184" i="3" s="1"/>
  <c r="B185" i="3" s="1"/>
  <c r="B186" i="3" s="1"/>
  <c r="B187" i="3" s="1"/>
  <c r="B188" i="3" s="1"/>
  <c r="B163" i="3"/>
  <c r="B168" i="3" s="1"/>
  <c r="B173" i="3" s="1"/>
  <c r="B178" i="3" s="1"/>
  <c r="B164" i="3"/>
  <c r="B169" i="3" s="1"/>
  <c r="B174" i="3" s="1"/>
  <c r="B179" i="3" s="1"/>
  <c r="B162" i="3"/>
  <c r="B167" i="3" s="1"/>
  <c r="B172" i="3" s="1"/>
  <c r="B177" i="3" s="1"/>
  <c r="A182" i="3"/>
  <c r="A183" i="3" s="1"/>
  <c r="A184" i="3" s="1"/>
  <c r="A185" i="3" s="1"/>
  <c r="A186" i="3" s="1"/>
  <c r="A187" i="3" s="1"/>
  <c r="A188" i="3" s="1"/>
</calcChain>
</file>

<file path=xl/sharedStrings.xml><?xml version="1.0" encoding="utf-8"?>
<sst xmlns="http://schemas.openxmlformats.org/spreadsheetml/2006/main" count="141" uniqueCount="39">
  <si>
    <t>Hotel</t>
  </si>
  <si>
    <t>Competidor</t>
  </si>
  <si>
    <t>Ciudad</t>
  </si>
  <si>
    <t>Habitaciones</t>
  </si>
  <si>
    <t>Mariquita</t>
  </si>
  <si>
    <t>Buscar</t>
  </si>
  <si>
    <t>MARINILLA, ANTIOQUIA</t>
  </si>
  <si>
    <t>GUATAPÉ</t>
  </si>
  <si>
    <t>EL PEÑOL, GUATAPÉ</t>
  </si>
  <si>
    <t>Arvum Hotel Boutique</t>
  </si>
  <si>
    <t>1714 Hotel Boutique Guatapé</t>
  </si>
  <si>
    <t>Hotel Spa Bliss Guatape</t>
  </si>
  <si>
    <t>Aeropuerto Rionegro- Medellin Hotel Mansión Sant Serrant</t>
  </si>
  <si>
    <t>Hotel Brisas La Gaviota Mariquit-Tolima</t>
  </si>
  <si>
    <t>Hobbit Hotel Ecolodge- Guatapé</t>
  </si>
  <si>
    <t>El peñol, Guatapé</t>
  </si>
  <si>
    <t>Domus Glamping Guatapé</t>
  </si>
  <si>
    <t>Glamping con jacuzzi y cocina- El Peñol a 30 minutos de Guatapé</t>
  </si>
  <si>
    <t>Hotel Omaga El peñol- Guatape</t>
  </si>
  <si>
    <t>Hotel Las Vegas</t>
  </si>
  <si>
    <t>Finca con jacuzzi a 15min de Guatape</t>
  </si>
  <si>
    <t>Finca Parcelación Alemania 1 El peñol, Guatapé</t>
  </si>
  <si>
    <t>Finca la Marina el peñol,Guatapé</t>
  </si>
  <si>
    <t xml:space="preserve">El peñol </t>
  </si>
  <si>
    <t>El peñol</t>
  </si>
  <si>
    <t>Se abre en una ventana nueva</t>
  </si>
  <si>
    <t>Hotel Portobelo Guatape</t>
  </si>
  <si>
    <t>1811 Villas Guatapé</t>
  </si>
  <si>
    <t>Marina Navegar- El peñol, Guatape</t>
  </si>
  <si>
    <t>Hotel Z3</t>
  </si>
  <si>
    <t>Pereira</t>
  </si>
  <si>
    <t xml:space="preserve">Guatapé </t>
  </si>
  <si>
    <t>Ocupadas</t>
  </si>
  <si>
    <t>Tarifa</t>
  </si>
  <si>
    <t>Total_Ingresos</t>
  </si>
  <si>
    <t>Registro</t>
  </si>
  <si>
    <t>Santa rosa de cabal</t>
  </si>
  <si>
    <t>La Herradura lodge</t>
  </si>
  <si>
    <t>Hotel Campestre Alto lindo en Guatapé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</si>
</sst>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1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1A1A1A"/>
      <name val="Calibri"/>
      <family val="2"/>
      <scheme val="minor"/>
    </font>
    <font>
      <sz val="11"/>
      <color rgb="FF006CE4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rgb="FF707070"/>
      <name val="Segoe UI"/>
      <family val="2"/>
    </font>
    <font>
      <b/>
      <sz val="12"/>
      <color rgb="FF006CE4"/>
      <name val="Segoe UI"/>
      <family val="2"/>
    </font>
    <font>
      <sz val="10"/>
      <color rgb="FF35342F"/>
      <name val="Times New Roman"/>
      <family val="1"/>
    </font>
    <font>
      <b/>
      <sz val="14"/>
      <color rgb="FF1A1A1A"/>
      <name val="Segoe UI"/>
      <family val="2"/>
    </font>
    <font>
      <b/>
      <sz val="11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D9D2E9"/>
        <bgColor indexed="64"/>
      </patternFill>
    </fill>
    <fill>
      <patternFill patternType="solid">
        <fgColor rgb="FFB4A7D6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44" fontId="7" fillId="0" borderId="0" applyFont="0" applyFill="0" applyBorder="0" applyAlignment="0" applyProtection="0"/>
  </cellStyleXfs>
  <cellXfs count="43">
    <xf numFmtId="0" fontId="0" fillId="0" borderId="0" xfId="0"/>
    <xf numFmtId="0" fontId="2" fillId="0" borderId="0" xfId="0" applyFont="1"/>
    <xf numFmtId="0" fontId="1" fillId="0" borderId="0" xfId="1" applyBorder="1" applyAlignment="1">
      <alignment vertical="center" wrapText="1"/>
    </xf>
    <xf numFmtId="0" fontId="4" fillId="2" borderId="0" xfId="0" applyFont="1" applyFill="1"/>
    <xf numFmtId="0" fontId="4" fillId="3" borderId="0" xfId="0" applyFont="1" applyFill="1"/>
    <xf numFmtId="0" fontId="1" fillId="0" borderId="0" xfId="1" applyBorder="1" applyAlignment="1">
      <alignment vertical="center"/>
    </xf>
    <xf numFmtId="0" fontId="4" fillId="0" borderId="0" xfId="0" applyFont="1"/>
    <xf numFmtId="0" fontId="4" fillId="0" borderId="0" xfId="1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4" fillId="0" borderId="0" xfId="1" applyFont="1" applyBorder="1" applyAlignment="1">
      <alignment vertical="center"/>
    </xf>
    <xf numFmtId="0" fontId="4" fillId="0" borderId="0" xfId="0" applyFont="1" applyAlignment="1">
      <alignment wrapText="1"/>
    </xf>
    <xf numFmtId="0" fontId="5" fillId="0" borderId="0" xfId="0" applyFont="1"/>
    <xf numFmtId="0" fontId="6" fillId="0" borderId="0" xfId="0" applyFont="1"/>
    <xf numFmtId="14" fontId="0" fillId="0" borderId="0" xfId="0" applyNumberFormat="1"/>
    <xf numFmtId="164" fontId="0" fillId="0" borderId="0" xfId="2" applyNumberFormat="1" applyFont="1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right" vertical="center"/>
    </xf>
    <xf numFmtId="0" fontId="1" fillId="0" borderId="0" xfId="1" applyAlignment="1">
      <alignment vertical="center" wrapText="1"/>
    </xf>
    <xf numFmtId="0" fontId="1" fillId="0" borderId="0" xfId="1" applyAlignment="1">
      <alignment vertical="center"/>
    </xf>
    <xf numFmtId="0" fontId="9" fillId="0" borderId="0" xfId="0" applyFont="1"/>
    <xf numFmtId="0" fontId="10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14" fontId="0" fillId="0" borderId="2" xfId="0" applyNumberFormat="1" applyBorder="1"/>
    <xf numFmtId="14" fontId="0" fillId="4" borderId="2" xfId="0" applyNumberFormat="1" applyFill="1" applyBorder="1"/>
    <xf numFmtId="14" fontId="0" fillId="5" borderId="0" xfId="0" applyNumberFormat="1" applyFill="1"/>
    <xf numFmtId="14" fontId="0" fillId="6" borderId="0" xfId="0" applyNumberFormat="1" applyFill="1"/>
    <xf numFmtId="0" fontId="12" fillId="7" borderId="3" xfId="0" applyFont="1" applyFill="1" applyBorder="1" applyAlignment="1">
      <alignment horizontal="center" vertical="center" wrapText="1"/>
    </xf>
    <xf numFmtId="0" fontId="12" fillId="7" borderId="4" xfId="0" applyFont="1" applyFill="1" applyBorder="1" applyAlignment="1">
      <alignment horizontal="center" vertical="center" wrapText="1"/>
    </xf>
    <xf numFmtId="164" fontId="12" fillId="8" borderId="3" xfId="2" applyNumberFormat="1" applyFont="1" applyFill="1" applyBorder="1" applyAlignment="1">
      <alignment horizontal="center" vertical="center" wrapText="1"/>
    </xf>
    <xf numFmtId="164" fontId="12" fillId="8" borderId="4" xfId="2" applyNumberFormat="1" applyFont="1" applyFill="1" applyBorder="1" applyAlignment="1">
      <alignment horizontal="center" vertical="center" wrapText="1"/>
    </xf>
    <xf numFmtId="164" fontId="8" fillId="0" borderId="0" xfId="2" applyNumberFormat="1" applyFont="1"/>
    <xf numFmtId="164" fontId="12" fillId="7" borderId="3" xfId="2" applyNumberFormat="1" applyFont="1" applyFill="1" applyBorder="1" applyAlignment="1">
      <alignment horizontal="center" vertical="center" wrapText="1"/>
    </xf>
    <xf numFmtId="164" fontId="12" fillId="7" borderId="4" xfId="2" applyNumberFormat="1" applyFont="1" applyFill="1" applyBorder="1" applyAlignment="1">
      <alignment horizontal="center" vertical="center" wrapText="1"/>
    </xf>
    <xf numFmtId="164" fontId="4" fillId="0" borderId="1" xfId="2" applyNumberFormat="1" applyFont="1" applyBorder="1" applyAlignment="1">
      <alignment horizontal="right" vertical="center"/>
    </xf>
    <xf numFmtId="1" fontId="0" fillId="0" borderId="0" xfId="0" applyNumberFormat="1"/>
    <xf numFmtId="1" fontId="0" fillId="0" borderId="0" xfId="0" applyNumberFormat="1" applyAlignment="1">
      <alignment horizontal="center"/>
    </xf>
    <xf numFmtId="1" fontId="4" fillId="0" borderId="1" xfId="0" applyNumberFormat="1" applyFont="1" applyBorder="1" applyAlignment="1">
      <alignment horizontal="right" vertical="center"/>
    </xf>
    <xf numFmtId="164" fontId="8" fillId="5" borderId="0" xfId="2" applyNumberFormat="1" applyFont="1" applyFill="1" applyBorder="1"/>
    <xf numFmtId="164" fontId="8" fillId="6" borderId="0" xfId="2" applyNumberFormat="1" applyFont="1" applyFill="1" applyBorder="1"/>
    <xf numFmtId="0" fontId="0" fillId="5" borderId="0" xfId="0" applyFill="1"/>
    <xf numFmtId="0" fontId="4" fillId="0" borderId="0" xfId="1" applyFont="1" applyAlignment="1">
      <alignment vertical="center" wrapText="1"/>
    </xf>
    <xf numFmtId="0" fontId="4" fillId="0" borderId="0" xfId="1" applyFont="1" applyAlignment="1">
      <alignment vertical="center"/>
    </xf>
  </cellXfs>
  <cellStyles count="3">
    <cellStyle name="Hipervínculo" xfId="1" builtinId="8"/>
    <cellStyle name="Moneda" xfId="2" builtinId="4"/>
    <cellStyle name="Normal" xfId="0" builtinId="0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4" formatCode="_-&quot;$&quot;\ * #,##0_-;\-&quot;$&quot;\ * #,##0_-;_-&quot;$&quot;\ * &quot;-&quot;??_-;_-@_-"/>
    </dxf>
    <dxf>
      <numFmt numFmtId="164" formatCode="_-&quot;$&quot;\ * #,##0_-;\-&quot;$&quot;\ * #,##0_-;_-&quot;$&quot;\ * &quot;-&quot;??_-;_-@_-"/>
    </dxf>
    <dxf>
      <numFmt numFmtId="0" formatCode="General"/>
    </dxf>
    <dxf>
      <numFmt numFmtId="1" formatCode="0"/>
    </dxf>
    <dxf>
      <font>
        <b val="0"/>
        <strike val="0"/>
        <outline val="0"/>
        <shadow val="0"/>
        <vertAlign val="baseline"/>
        <sz val="11"/>
        <name val="Calibri"/>
        <family val="2"/>
        <scheme val="minor"/>
      </font>
      <numFmt numFmtId="0" formatCode="General"/>
    </dxf>
    <dxf>
      <font>
        <b val="0"/>
        <strike val="0"/>
        <outline val="0"/>
        <shadow val="0"/>
        <vertAlign val="baseline"/>
        <sz val="1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strike val="0"/>
        <outline val="0"/>
        <shadow val="0"/>
        <vertAlign val="baseline"/>
        <sz val="11"/>
        <name val="Calibri"/>
        <family val="2"/>
        <scheme val="minor"/>
      </font>
    </dxf>
    <dxf>
      <font>
        <b val="0"/>
        <strike val="0"/>
        <outline val="0"/>
        <shadow val="0"/>
        <vertAlign val="baseline"/>
        <sz val="11"/>
        <name val="Calibri"/>
        <family val="2"/>
        <scheme val="minor"/>
      </font>
    </dxf>
    <dxf>
      <font>
        <b val="0"/>
        <strike val="0"/>
        <outline val="0"/>
        <shadow val="0"/>
        <vertAlign val="baseline"/>
        <sz val="1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9D21182-D43C-470A-B09C-33D59F642357}" name="Cliente" displayName="Cliente" ref="A1:G23" totalsRowShown="0">
  <autoFilter ref="A1:G23" xr:uid="{29D21182-D43C-470A-B09C-33D59F642357}"/>
  <tableColumns count="7">
    <tableColumn id="1" xr3:uid="{CC04C55D-8CB7-40F1-833F-D90CF1A4145F}" name="Ciudad"/>
    <tableColumn id="2" xr3:uid="{17B68B82-A713-489E-AF21-1C354461B526}" name="Hotel"/>
    <tableColumn id="3" xr3:uid="{CD646573-BBAF-4C33-BD50-2FBDBDF537F1}" name="Habitaciones"/>
    <tableColumn id="4" xr3:uid="{A3EF6BE0-FA14-41C9-A81E-B855AD1B86D0}" name="Ocupadas"/>
    <tableColumn id="5" xr3:uid="{A16515AB-C64E-4549-9DF9-7389CFD156EA}" name="Tarifa"/>
    <tableColumn id="6" xr3:uid="{ADB59CD3-1F51-4D52-9AB5-081780355BF5}" name="Total_Ingresos"/>
    <tableColumn id="7" xr3:uid="{33650942-59D0-46A0-8FEA-E53C2750F5A0}" name="Registr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BE63BE7-3823-4732-A186-4FE3C032EC28}" name="Competencia" displayName="Competencia" ref="A1:D149" totalsRowShown="0" headerRowDxfId="14" dataDxfId="13">
  <autoFilter ref="A1:D149" xr:uid="{9BE63BE7-3823-4732-A186-4FE3C032EC28}"/>
  <sortState xmlns:xlrd2="http://schemas.microsoft.com/office/spreadsheetml/2017/richdata2" ref="A2:D48">
    <sortCondition ref="A1:A48"/>
  </sortState>
  <tableColumns count="4">
    <tableColumn id="1" xr3:uid="{A7901FE8-C6FF-4F44-9910-F8BC86D9C51A}" name="Hotel" dataDxfId="12"/>
    <tableColumn id="2" xr3:uid="{8874C2CB-3857-44FC-8DE5-C97BCE355615}" name="Competidor" dataDxfId="11"/>
    <tableColumn id="3" xr3:uid="{D303086F-32DF-4214-9F0B-3463D4C96421}" name="Ciudad" dataDxfId="10">
      <calculatedColumnFormula>+INDEX(Cliente[Ciudad],MATCH(Competencia[[#This Row],[Hotel]],Cliente[Hotel],0),1)</calculatedColumnFormula>
    </tableColumn>
    <tableColumn id="4" xr3:uid="{D4EE1D45-076C-4CB6-B079-4690DC785BDB}" name="Buscar" dataDxfId="9">
      <calculatedColumnFormula>+Competencia[[#This Row],[Competidor]]&amp;", "&amp;Competencia[[#This Row],[Ciudad]]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C94065-A902-43F6-B090-B558A3678576}" name="Cliente2" displayName="Cliente2" ref="A1:G776" totalsRowShown="0">
  <autoFilter ref="A1:G776" xr:uid="{CBC94065-A902-43F6-B090-B558A3678576}">
    <filterColumn colId="1">
      <filters>
        <filter val="Marina Navegar- El peñol, Guatape"/>
      </filters>
    </filterColumn>
  </autoFilter>
  <tableColumns count="7">
    <tableColumn id="1" xr3:uid="{2AF60C71-8D56-468C-9CC4-BD15BC00353F}" name="Ciudad"/>
    <tableColumn id="2" xr3:uid="{6005CAC3-37B2-4074-937E-9F99354D2696}" name="Hotel"/>
    <tableColumn id="3" xr3:uid="{22288B2C-2FDC-4E1A-9623-EA59B494D5B4}" name="Habitaciones" dataDxfId="8"/>
    <tableColumn id="4" xr3:uid="{8FCC5376-2E93-498D-B720-45DF9B9D00EF}" name="Ocupadas" dataDxfId="7">
      <calculatedColumnFormula>+RANDBETWEEN(1,33)</calculatedColumnFormula>
    </tableColumn>
    <tableColumn id="5" xr3:uid="{537BF327-E4D0-473F-96C5-297CE6D34C0B}" name="Tarifa" dataDxfId="6" dataCellStyle="Moneda"/>
    <tableColumn id="6" xr3:uid="{4C30928C-FA34-4CC5-9A2D-AF0F44D23A49}" name="Total_Ingresos" dataDxfId="5" dataCellStyle="Moneda">
      <calculatedColumnFormula>+Cliente2[[#This Row],[Ocupadas]]*Cliente2[[#This Row],[Tarifa]]</calculatedColumnFormula>
    </tableColumn>
    <tableColumn id="7" xr3:uid="{F81BF632-8D09-44D7-BB79-BBC28AE5F3F0}" name="Registr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ooking.com/hotel/co/las-vegas-guatape.es.html?label=msn-u3xw61g22gHFZ*4MwXPLMA-80058326230557%3Atikwd-80058472695317%3Aloc-142114%3Aneo%3Amte%3Alp142114%3Adec%3Aqshotel+las+vegas+guatap%C3%A9&amp;sid=d0e7b2a1316f88f544ee0e1e96c3d09e&amp;utm_source=bing&amp;utm_medium=cpc&amp;utm_term=u3xw61g22gHFZ*4MwXPLMA&amp;utm_campaign=Hotel+-+Colombia+-+Guatape+-+UFI%3A-585862&amp;aid=2276454&amp;ucfs=1&amp;arphpl=1&amp;checkin=2024-11-28&amp;checkout=2024-11-29&amp;dest_id=-585862&amp;dest_type=city&amp;group_adults=2&amp;req_adults=2&amp;no_rooms=1&amp;group_children=0&amp;req_children=0&amp;hpos=1&amp;hapos=1&amp;sr_order=popularity&amp;srpvid=6c96864edd6e008c&amp;srepoch=1732302388&amp;all_sr_blocks=228281201_275939749_0_0_0&amp;highlighted_blocks=228281201_275939749_0_0_0&amp;matching_block_id=228281201_275939749_0_0_0&amp;sr_pri_blocks=228281201_275939749_0_0_0__7110000&amp;from=searchresults" TargetMode="External"/><Relationship Id="rId2" Type="http://schemas.openxmlformats.org/officeDocument/2006/relationships/hyperlink" Target="https://www.booking.com/hotel/co/las-vegas-guatape.es.html?label=msn-u3xw61g22gHFZ*4MwXPLMA-80058326230557%3Atikwd-80058472695317%3Aloc-142114%3Aneo%3Amte%3Alp142114%3Adec%3Aqshotel+las+vegas+guatap%C3%A9&amp;sid=d0e7b2a1316f88f544ee0e1e96c3d09e&amp;utm_source=bing&amp;utm_medium=cpc&amp;utm_term=u3xw61g22gHFZ*4MwXPLMA&amp;utm_campaign=Hotel+-+Colombia+-+Guatape+-+UFI%3A-585862&amp;aid=2276454&amp;ucfs=1&amp;arphpl=1&amp;checkin=2024-11-28&amp;checkout=2024-11-29&amp;dest_id=-585862&amp;dest_type=city&amp;group_adults=2&amp;req_adults=2&amp;no_rooms=1&amp;group_children=0&amp;req_children=0&amp;hpos=1&amp;hapos=1&amp;sr_order=popularity&amp;srpvid=6c96864edd6e008c&amp;srepoch=1732302388&amp;all_sr_blocks=228281201_275939749_0_0_0&amp;highlighted_blocks=228281201_275939749_0_0_0&amp;matching_block_id=228281201_275939749_0_0_0&amp;sr_pri_blocks=228281201_275939749_0_0_0__7110000&amp;from=searchresults" TargetMode="External"/><Relationship Id="rId1" Type="http://schemas.openxmlformats.org/officeDocument/2006/relationships/hyperlink" Target="https://www.booking.com/hotel/co/arvum-boutique.es.html?label=gen173nr-1FCAEoggI46AdIM1gEaDKIAQGYAQq4ARfIARXYAQHoAQH4AQOIAgGoAgO4Auv6ubkGwAIB0gIkNDIxYWRlNzgtZGMxNy00ZTRiLWI1OTctZWE2NjQ2MGNiNGE52AIG4AIB&amp;aid=304142&amp;ucfs=1&amp;arphpl=1&amp;checkin=2024-11-22&amp;checkout=2024-11-30&amp;dest_id=9108472&amp;dest_type=hotel&amp;group_adults=2&amp;req_adults=2&amp;no_rooms=1&amp;group_children=0&amp;req_children=0&amp;hpos=1&amp;hapos=1&amp;sr_order=popularity&amp;srpvid=c9c2957d3a9f0ab7&amp;srepoch=1731100543&amp;all_sr_blocks=910847208_403437473_2_1_0&amp;highlighted_blocks=910847208_403437473_2_1_0&amp;matching_block_id=910847208_403437473_2_1_0&amp;sr_pri_blocks=910847208_403437473_2_1_0__363951706&amp;from_sustainable_property_sr=1&amp;from=searchresults" TargetMode="External"/><Relationship Id="rId5" Type="http://schemas.openxmlformats.org/officeDocument/2006/relationships/table" Target="../tables/table2.xm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3.bin"/><Relationship Id="rId3" Type="http://schemas.openxmlformats.org/officeDocument/2006/relationships/hyperlink" Target="https://www.booking.com/hotel/co/finca-con-jacuzzi-a-15min-de-guatape.es.html?label=gog235jc-1BCAsoMkIkZmluY2EtY29uLWphY3V6emktYS0xNW1pbi1kZS1ndWF0YXBlSFJYA2gyiAEBmAEKuAEYyAEM2AEB6AEBiAIBqAIEuAK80vS5BsACAdICJDRhZmQ0YTAxLWM0ZTgtNGNhZC04OGU1LTMzNDllMWZkN2U1M9gCBeACAQ&amp;sid=1ceb258b5da5325b1f375fc1eb8f6953&amp;aid=356980&amp;ucfs=1&amp;arphpl=1&amp;checkin=2024-11-21&amp;checkout=2024-11-22&amp;dest_id=900058844&amp;dest_type=city&amp;group_adults=1&amp;req_adults=1&amp;no_rooms=1&amp;group_children=1&amp;req_children=1&amp;age=0&amp;req_age=0&amp;hpos=1&amp;hapos=1&amp;sr_order=popularity&amp;srpvid=9fc2015f23080068&amp;srepoch=1732061550&amp;all_sr_blocks=1277805301_400689207_10_0_0&amp;highlighted_blocks=1277805301_400689207_10_0_0&amp;matching_block_id=1277805301_400689207_10_0_0&amp;sr_pri_blocks=1277805301_400689207_10_0_0__80000000&amp;from=searchresults" TargetMode="External"/><Relationship Id="rId7" Type="http://schemas.openxmlformats.org/officeDocument/2006/relationships/hyperlink" Target="https://www.booking.com/hotel/co/omaga.es.html?label=metagha-link-LUCO-hotel-6316547_dev-desktop_los-1_bw-9_dow-Thursday_defdate-0_room-0_gstadt-2_rateid-public_aud-0_gacid-21415124842_mcid-10_ppa-0_clrid-0_ad-1_gstkid-0_checkin-20241128_ppt-Co_lp-2170_r-4994707831949072125&amp;sid=1ceb258b5da5325b1f375fc1eb8f6953&amp;utm_source=metagha&amp;utm_medium=localuniversal&amp;utm_term=hotel-6316547&amp;utm_content=dev-desktop_los-1_bw-9_dow-Thursday_defdate-0_room-0_gstadt-2_rateid-public_aud-0_gacid-21415124842_mcid-10_ppa-0_clrid-0_ad-1_gstkid-0_checkin-20241128_ppt-Co&amp;utm_campaign=CO&amp;gclid=Cj0KCQiAi_G5BhDXARIsAN5SX7o45HMfbv9Du7i_-j1GdzKiVOFGIyr1YKksvuiXYTylNBYLKm0yOdcaAtpSEALw_wcB&amp;aid=356938&amp;ucfs=1&amp;arphpl=1&amp;checkin=2024-11-28&amp;checkout=2024-11-29&amp;dest_id=900058844&amp;dest_type=city&amp;group_adults=2&amp;req_adults=2&amp;no_rooms=1&amp;group_children=0&amp;req_children=0&amp;hpos=1&amp;hapos=1&amp;sr_order=popularity&amp;srpvid=e982a5d7809901c1&amp;srepoch=1732059371&amp;all_sr_blocks=631654701_403431312_2_2_0_703336&amp;highlighted_blocks=631654701_403431312_2_2_0_703336&amp;matching_block_id=631654701_403431312_2_2_0_703336&amp;sr_pri_blocks=631654701_403431312_2_2_0_703336_13440000&amp;from=searchresults" TargetMode="External"/><Relationship Id="rId2" Type="http://schemas.openxmlformats.org/officeDocument/2006/relationships/hyperlink" Target="https://www.booking.com/hotel/co/glmping-5-elementos-el-penol-a-30-minutos-de-guatape.es.html?label=gog235jc-1DCAsoMkI0Z2xtcGluZy01LWVsZW1lbnRvcy1lbC1wZW5vbC1hLTMwLW1pbnV0b3MtZGUtZ3VhdGFwZUgKWANoMogBAZgBCrgBGMgBDNgBA-gBAfgBAogCAagCBLgCytH0uQbAAgHSAiQ1ZDRmYjA0Yi1kYjM4LTQ5YzctODI5ZC0yYTJlNzA0MDViNDDYAgTgAgE&amp;sid=1ceb258b5da5325b1f375fc1eb8f6953&amp;aid=356980&amp;ucfs=1&amp;arphpl=1&amp;checkin=2024-11-21&amp;checkout=2024-11-22&amp;dest_id=900058844&amp;dest_type=city&amp;group_adults=1&amp;req_adults=1&amp;no_rooms=1&amp;group_children=0&amp;req_children=0&amp;hpos=1&amp;hapos=1&amp;sr_order=popularity&amp;srpvid=52520125a579028e&amp;srepoch=1732061433&amp;all_sr_blocks=1261771001_401045264_2_1_0_637070&amp;highlighted_blocks=1261771001_401045264_2_1_0_637070&amp;matching_block_id=1261771001_401045264_2_1_0_637070&amp;sr_pri_blocks=1261771001_401045264_2_1_0_637070_30800000&amp;from_sustainable_property_sr=1&amp;from=searchresults" TargetMode="External"/><Relationship Id="rId1" Type="http://schemas.openxmlformats.org/officeDocument/2006/relationships/hyperlink" Target="https://www.booking.com/hotel/co/san-simon-glamping.es.html?label=gog235jc-1DCAsoMkISc2FuLXNpbW9uLWdsYW1waW5nSApYA2gyiAEBmAEKuAEYyAEM2AED6AEB-AECiAIBqAIEuALKyvS5BsACAdICJGRhOWU1YjNmLTM5MzItNGIxZS1hMDUwLWYyYTRjMGYzNmY2NNgCBOACAQ&amp;sid=1ceb258b5da5325b1f375fc1eb8f6953&amp;aid=356980&amp;ucfs=1&amp;arphpl=1&amp;checkin=2024-11-21&amp;checkout=2024-11-22&amp;dest_id=-585862&amp;dest_type=city&amp;group_adults=1&amp;req_adults=1&amp;no_rooms=1&amp;group_children=0&amp;req_children=0&amp;hpos=1&amp;hapos=1&amp;sr_order=popularity&amp;srpvid=2454a8257e62031b&amp;srepoch=1732060537&amp;all_sr_blocks=1064978104_378886258_2_0_0&amp;highlighted_blocks=1064978104_378886258_2_0_0&amp;matching_block_id=1064978104_378886258_2_0_0&amp;sr_pri_blocks=1064978104_378886258_2_0_0__20800000&amp;from=searchresults" TargetMode="External"/><Relationship Id="rId6" Type="http://schemas.openxmlformats.org/officeDocument/2006/relationships/hyperlink" Target="https://www.booking.com/hotel/co/portobelo-guatape.es.html?label=English_Colombia_EN_CO_29562107545-_WDZKP6aira3zHoJLRwvgQS217246346796%3Apl%3Ata%3Ap1%3Ap2%3Aac%3Aap%3Aneg%3Afi55625023303%3Atidsa-323233910078%3Alp20198%3Ali%3Adec%3Adm&amp;sid=93fa566f322f808be7ab10c4661acff5&amp;aid=318615&amp;ucfs=1&amp;arphpl=1&amp;group_adults=2&amp;req_adults=2&amp;no_rooms=1&amp;group_children=0&amp;req_children=0&amp;hpos=8&amp;hapos=8&amp;sr_order=distance_from_search&amp;srpvid=229b6189d75b001e&amp;srepoch=1739800347&amp;from=searchresults" TargetMode="External"/><Relationship Id="rId5" Type="http://schemas.openxmlformats.org/officeDocument/2006/relationships/hyperlink" Target="https://www.booking.com/hotel/co/cabanas-navegar.es-mx.html?label=Spanish_Colombia_ES_CO_20153959105-JvWA_BiunE_YalmU9PDZ_QS640874832178%3Apl%3Ata%3Ap1%3Ap2%3Aac%3Aap%3Aneg%3Afi%3Atidsa-162435870265%3Alp20198%3Ali%3Adec%3Adm%3Aag20153959105%3Acmp313803625&amp;sid=1ceb258b5da5325b1f375fc1eb8f6953&amp;aid=318615&amp;ucfs=1&amp;arphpl=1&amp;checkin=2025-01-16&amp;checkout=2025-01-17&amp;dest_id=-585862&amp;dest_type=city&amp;group_adults=2&amp;req_adults=2&amp;no_rooms=1&amp;group_children=1&amp;req_children=1&amp;age=1&amp;req_age=1&amp;hpos=1&amp;hapos=1&amp;sr_order=popularity&amp;srpvid=93d05827e77d073c&amp;srepoch=1734611241&amp;all_sr_blocks=953678210_384057531_5_0_0&amp;highlighted_blocks=953678210_384057531_5_0_0&amp;matching_block_id=953678210_384057531_5_0_0&amp;sr_pri_blocks=953678210_384057531_5_0_0__31900000&amp;from=searchresults" TargetMode="External"/><Relationship Id="rId4" Type="http://schemas.openxmlformats.org/officeDocument/2006/relationships/hyperlink" Target="https://www.booking.com/hotel/co/finca-parcelacion-alemania-1.es.html?label=gog235jc-1BCAsoMkIcZmluY2EtcGFyY2VsYWNpb24tYWxlbWFuaWEtMUgEWANoMogBAZgBCrgBGMgBDNgBAegBAYgCAagCBLgCsNP0uQbAAgHSAiRmYzZlZGIyYS03MTgyLTQ5OGMtYmE5MC00YzE3ODAyNGEwNGLYAgXgAgE&amp;sid=1ceb258b5da5325b1f375fc1eb8f6953&amp;aid=356980&amp;ucfs=1&amp;arphpl=1&amp;checkin=2024-11-21&amp;checkout=2024-11-22&amp;dest_id=900058844&amp;dest_type=city&amp;group_adults=1&amp;req_adults=1&amp;no_rooms=1&amp;group_children=1&amp;req_children=1&amp;age=0&amp;req_age=0&amp;hpos=1&amp;hapos=1&amp;sr_order=popularity&amp;srpvid=c826019951a600bc&amp;srepoch=1732061666&amp;all_sr_blocks=1293010901_402244377_4_0_0&amp;highlighted_blocks=1293010901_402244377_4_0_0&amp;matching_block_id=1293010901_402244377_4_0_0&amp;sr_pri_blocks=1293010901_402244377_4_0_0__40000000&amp;from=searchresults" TargetMode="External"/><Relationship Id="rId9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BB3E7-AA76-410D-8D51-AC55157784CD}">
  <dimension ref="A1:G21"/>
  <sheetViews>
    <sheetView showGridLines="0" tabSelected="1" workbookViewId="0">
      <pane ySplit="1" topLeftCell="A2" activePane="bottomLeft" state="frozen"/>
      <selection pane="bottomLeft"/>
    </sheetView>
  </sheetViews>
  <sheetFormatPr baseColWidth="10" defaultRowHeight="14.4" x14ac:dyDescent="0.3"/>
  <cols>
    <col min="1" max="1" width="21.6640625" bestFit="1" customWidth="1"/>
    <col min="2" max="2" width="52.88671875" bestFit="1" customWidth="1"/>
    <col min="3" max="3" width="14" bestFit="1" customWidth="1"/>
    <col min="4" max="4" width="12.6640625" bestFit="1" customWidth="1"/>
    <col min="5" max="5" width="6.6640625" bestFit="1" customWidth="1"/>
  </cols>
  <sheetData>
    <row r="1" spans="1:7" x14ac:dyDescent="0.3">
      <c r="A1" t="s">
        <v>2</v>
      </c>
      <c r="B1" t="s">
        <v>0</v>
      </c>
      <c r="C1" t="s">
        <v>3</v>
      </c>
      <c r="D1" t="s">
        <v>32</v>
      </c>
      <c r="E1" t="s">
        <v>33</v>
      </c>
      <c r="F1" t="s">
        <v>34</v>
      </c>
      <c r="G1" t="s">
        <v>35</v>
      </c>
    </row>
    <row r="2" spans="1:7" x14ac:dyDescent="0.3">
      <c r="A2" t="s">
        <v>4</v>
      </c>
      <c r="B2" t="s">
        <v>13</v>
      </c>
    </row>
    <row r="11" spans="1:7" ht="20.399999999999999" x14ac:dyDescent="0.3">
      <c r="B11" s="22"/>
    </row>
    <row r="21" spans="1:1" ht="20.399999999999999" x14ac:dyDescent="0.3">
      <c r="A21" s="2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CB63C-18F2-44BE-92D8-19338A9887F9}">
  <dimension ref="A1:G152"/>
  <sheetViews>
    <sheetView showGridLines="0" zoomScale="115" zoomScaleNormal="115" workbookViewId="0">
      <pane ySplit="1" topLeftCell="A2" activePane="bottomLeft" state="frozen"/>
      <selection pane="bottomLeft"/>
    </sheetView>
  </sheetViews>
  <sheetFormatPr baseColWidth="10" defaultRowHeight="15.6" x14ac:dyDescent="0.3"/>
  <cols>
    <col min="1" max="1" width="42.88671875" customWidth="1"/>
    <col min="2" max="2" width="32.33203125" style="1" customWidth="1"/>
    <col min="3" max="3" width="32.33203125" customWidth="1"/>
    <col min="4" max="4" width="52.109375" bestFit="1" customWidth="1"/>
  </cols>
  <sheetData>
    <row r="1" spans="1:4" ht="14.4" x14ac:dyDescent="0.3">
      <c r="A1" t="s">
        <v>0</v>
      </c>
      <c r="B1" t="s">
        <v>1</v>
      </c>
      <c r="C1" t="s">
        <v>2</v>
      </c>
      <c r="D1" t="s">
        <v>5</v>
      </c>
    </row>
    <row r="2" spans="1:4" ht="14.4" x14ac:dyDescent="0.3">
      <c r="A2" t="s">
        <v>10</v>
      </c>
      <c r="B2" s="2" t="s">
        <v>9</v>
      </c>
      <c r="C2" t="s">
        <v>24</v>
      </c>
      <c r="D2" t="str">
        <f>+Competencia[[#This Row],[Competidor]]&amp;", "&amp;Competencia[[#This Row],[Ciudad]]</f>
        <v>Arvum Hotel Boutique, El peñol</v>
      </c>
    </row>
    <row r="3" spans="1:4" ht="14.4" x14ac:dyDescent="0.3">
      <c r="B3" s="3"/>
    </row>
    <row r="4" spans="1:4" ht="14.4" x14ac:dyDescent="0.3">
      <c r="B4" s="2"/>
    </row>
    <row r="5" spans="1:4" ht="14.4" x14ac:dyDescent="0.3">
      <c r="B5" s="2"/>
    </row>
    <row r="6" spans="1:4" ht="14.4" x14ac:dyDescent="0.3">
      <c r="B6" s="4"/>
    </row>
    <row r="7" spans="1:4" ht="14.4" x14ac:dyDescent="0.3">
      <c r="B7" s="2"/>
    </row>
    <row r="8" spans="1:4" ht="14.4" x14ac:dyDescent="0.3">
      <c r="B8" s="2"/>
    </row>
    <row r="9" spans="1:4" ht="14.4" x14ac:dyDescent="0.3">
      <c r="B9" s="2"/>
    </row>
    <row r="10" spans="1:4" ht="14.4" x14ac:dyDescent="0.3">
      <c r="B10" s="2"/>
    </row>
    <row r="11" spans="1:4" ht="14.4" x14ac:dyDescent="0.3">
      <c r="B11" s="2"/>
    </row>
    <row r="12" spans="1:4" ht="14.4" x14ac:dyDescent="0.3">
      <c r="B12" s="2"/>
    </row>
    <row r="13" spans="1:4" ht="14.4" x14ac:dyDescent="0.3">
      <c r="B13" s="2"/>
    </row>
    <row r="14" spans="1:4" ht="14.4" x14ac:dyDescent="0.3">
      <c r="B14" s="2"/>
    </row>
    <row r="15" spans="1:4" ht="14.4" x14ac:dyDescent="0.3">
      <c r="B15" s="2"/>
    </row>
    <row r="16" spans="1:4" ht="14.4" x14ac:dyDescent="0.3">
      <c r="B16" s="2"/>
    </row>
    <row r="17" spans="2:2" ht="14.4" x14ac:dyDescent="0.3">
      <c r="B17" s="2"/>
    </row>
    <row r="18" spans="2:2" ht="14.4" x14ac:dyDescent="0.3">
      <c r="B18" s="2"/>
    </row>
    <row r="19" spans="2:2" ht="14.4" x14ac:dyDescent="0.3">
      <c r="B19" s="2"/>
    </row>
    <row r="20" spans="2:2" ht="14.4" x14ac:dyDescent="0.3">
      <c r="B20" s="5"/>
    </row>
    <row r="21" spans="2:2" ht="14.4" x14ac:dyDescent="0.3">
      <c r="B21" s="6"/>
    </row>
    <row r="22" spans="2:2" ht="14.4" x14ac:dyDescent="0.3">
      <c r="B22" s="2"/>
    </row>
    <row r="23" spans="2:2" ht="14.4" x14ac:dyDescent="0.3">
      <c r="B23" s="7"/>
    </row>
    <row r="24" spans="2:2" ht="14.4" x14ac:dyDescent="0.3">
      <c r="B24" s="2"/>
    </row>
    <row r="25" spans="2:2" ht="14.4" x14ac:dyDescent="0.3">
      <c r="B25" s="8"/>
    </row>
    <row r="26" spans="2:2" ht="14.4" x14ac:dyDescent="0.3">
      <c r="B26" s="6"/>
    </row>
    <row r="27" spans="2:2" ht="14.4" x14ac:dyDescent="0.3">
      <c r="B27" s="8"/>
    </row>
    <row r="28" spans="2:2" ht="14.4" x14ac:dyDescent="0.3">
      <c r="B28" s="2"/>
    </row>
    <row r="29" spans="2:2" ht="14.4" x14ac:dyDescent="0.3">
      <c r="B29" s="4"/>
    </row>
    <row r="30" spans="2:2" ht="14.4" x14ac:dyDescent="0.3">
      <c r="B30" s="2"/>
    </row>
    <row r="31" spans="2:2" ht="14.4" x14ac:dyDescent="0.3">
      <c r="B31" s="4"/>
    </row>
    <row r="32" spans="2:2" ht="14.4" x14ac:dyDescent="0.3">
      <c r="B32" s="4"/>
    </row>
    <row r="33" spans="2:2" ht="14.4" x14ac:dyDescent="0.3">
      <c r="B33" s="2"/>
    </row>
    <row r="34" spans="2:2" ht="14.4" x14ac:dyDescent="0.3">
      <c r="B34" s="2"/>
    </row>
    <row r="35" spans="2:2" ht="14.4" x14ac:dyDescent="0.3">
      <c r="B35" s="4"/>
    </row>
    <row r="36" spans="2:2" ht="14.4" x14ac:dyDescent="0.3">
      <c r="B36" s="2"/>
    </row>
    <row r="37" spans="2:2" ht="14.4" x14ac:dyDescent="0.3">
      <c r="B37" s="2"/>
    </row>
    <row r="38" spans="2:2" ht="14.4" x14ac:dyDescent="0.3">
      <c r="B38" s="2"/>
    </row>
    <row r="39" spans="2:2" ht="14.4" x14ac:dyDescent="0.3">
      <c r="B39" s="2"/>
    </row>
    <row r="40" spans="2:2" ht="14.4" x14ac:dyDescent="0.3">
      <c r="B40" s="8"/>
    </row>
    <row r="41" spans="2:2" ht="14.4" x14ac:dyDescent="0.3">
      <c r="B41" s="4"/>
    </row>
    <row r="42" spans="2:2" ht="14.4" x14ac:dyDescent="0.3">
      <c r="B42" s="4"/>
    </row>
    <row r="43" spans="2:2" ht="14.4" x14ac:dyDescent="0.3">
      <c r="B43" s="2"/>
    </row>
    <row r="44" spans="2:2" ht="14.4" x14ac:dyDescent="0.3">
      <c r="B44" s="7"/>
    </row>
    <row r="45" spans="2:2" ht="14.4" x14ac:dyDescent="0.3">
      <c r="B45" s="4"/>
    </row>
    <row r="46" spans="2:2" ht="14.4" x14ac:dyDescent="0.3">
      <c r="B46" s="2"/>
    </row>
    <row r="47" spans="2:2" ht="14.4" x14ac:dyDescent="0.3">
      <c r="B47" s="7"/>
    </row>
    <row r="48" spans="2:2" ht="14.4" x14ac:dyDescent="0.3">
      <c r="B48" s="2"/>
    </row>
    <row r="49" spans="2:6" ht="14.4" x14ac:dyDescent="0.3">
      <c r="B49" s="7"/>
    </row>
    <row r="50" spans="2:6" ht="14.4" x14ac:dyDescent="0.3">
      <c r="B50" s="8"/>
    </row>
    <row r="51" spans="2:6" ht="14.4" x14ac:dyDescent="0.3">
      <c r="B51" s="6"/>
    </row>
    <row r="52" spans="2:6" ht="14.4" x14ac:dyDescent="0.3">
      <c r="B52" s="2"/>
    </row>
    <row r="53" spans="2:6" ht="14.4" x14ac:dyDescent="0.3">
      <c r="B53" s="2"/>
    </row>
    <row r="54" spans="2:6" ht="14.4" x14ac:dyDescent="0.3">
      <c r="B54" s="8"/>
    </row>
    <row r="55" spans="2:6" ht="14.4" x14ac:dyDescent="0.3">
      <c r="B55" s="8"/>
    </row>
    <row r="56" spans="2:6" ht="14.4" x14ac:dyDescent="0.3">
      <c r="B56"/>
    </row>
    <row r="57" spans="2:6" ht="14.4" x14ac:dyDescent="0.3">
      <c r="B57" s="2"/>
    </row>
    <row r="58" spans="2:6" ht="28.8" x14ac:dyDescent="0.3">
      <c r="B58" s="2"/>
      <c r="F58" s="2" t="s">
        <v>19</v>
      </c>
    </row>
    <row r="59" spans="2:6" ht="14.4" x14ac:dyDescent="0.3">
      <c r="B59" s="2"/>
      <c r="F59" s="5" t="s">
        <v>25</v>
      </c>
    </row>
    <row r="60" spans="2:6" ht="14.4" x14ac:dyDescent="0.3">
      <c r="B60" s="9"/>
    </row>
    <row r="61" spans="2:6" ht="14.4" x14ac:dyDescent="0.3">
      <c r="B61" s="8"/>
      <c r="F61" s="2"/>
    </row>
    <row r="62" spans="2:6" ht="14.4" x14ac:dyDescent="0.3">
      <c r="B62"/>
    </row>
    <row r="63" spans="2:6" ht="14.4" x14ac:dyDescent="0.3">
      <c r="B63" s="2"/>
    </row>
    <row r="64" spans="2:6" ht="14.4" x14ac:dyDescent="0.3">
      <c r="B64" s="2"/>
    </row>
    <row r="65" spans="2:7" ht="14.4" x14ac:dyDescent="0.3">
      <c r="B65" s="8"/>
      <c r="G65" s="2"/>
    </row>
    <row r="66" spans="2:7" ht="14.4" x14ac:dyDescent="0.3">
      <c r="B66" s="8"/>
      <c r="G66" s="5"/>
    </row>
    <row r="67" spans="2:7" ht="14.4" x14ac:dyDescent="0.3">
      <c r="B67" s="2"/>
    </row>
    <row r="68" spans="2:7" ht="14.4" x14ac:dyDescent="0.3">
      <c r="B68" s="8"/>
    </row>
    <row r="69" spans="2:7" ht="14.4" x14ac:dyDescent="0.3">
      <c r="B69" s="4"/>
      <c r="G69" s="2"/>
    </row>
    <row r="70" spans="2:7" ht="14.4" x14ac:dyDescent="0.3">
      <c r="B70" s="2"/>
      <c r="G70" s="2"/>
    </row>
    <row r="71" spans="2:7" ht="14.4" x14ac:dyDescent="0.3">
      <c r="B71" s="2"/>
    </row>
    <row r="72" spans="2:7" ht="14.4" x14ac:dyDescent="0.3">
      <c r="B72" s="2"/>
    </row>
    <row r="73" spans="2:7" ht="14.4" x14ac:dyDescent="0.3">
      <c r="B73" s="7"/>
    </row>
    <row r="74" spans="2:7" ht="14.4" x14ac:dyDescent="0.3">
      <c r="B74" s="4"/>
    </row>
    <row r="75" spans="2:7" ht="14.4" x14ac:dyDescent="0.3">
      <c r="B75" s="10"/>
    </row>
    <row r="76" spans="2:7" ht="14.4" x14ac:dyDescent="0.3">
      <c r="B76" s="10"/>
    </row>
    <row r="77" spans="2:7" ht="14.4" x14ac:dyDescent="0.3">
      <c r="B77" s="10"/>
    </row>
    <row r="78" spans="2:7" ht="14.4" x14ac:dyDescent="0.3">
      <c r="B78" s="10"/>
    </row>
    <row r="79" spans="2:7" ht="14.4" x14ac:dyDescent="0.3">
      <c r="B79" s="11"/>
    </row>
    <row r="80" spans="2:7" ht="14.4" x14ac:dyDescent="0.3">
      <c r="B80" s="10"/>
    </row>
    <row r="81" spans="2:2" ht="14.4" x14ac:dyDescent="0.3">
      <c r="B81" s="10"/>
    </row>
    <row r="82" spans="2:2" ht="14.4" x14ac:dyDescent="0.3">
      <c r="B82" s="10"/>
    </row>
    <row r="83" spans="2:2" ht="14.4" x14ac:dyDescent="0.3">
      <c r="B83" s="10"/>
    </row>
    <row r="84" spans="2:2" ht="14.4" x14ac:dyDescent="0.3">
      <c r="B84" s="11"/>
    </row>
    <row r="85" spans="2:2" ht="14.4" x14ac:dyDescent="0.3">
      <c r="B85" s="11"/>
    </row>
    <row r="86" spans="2:2" ht="14.4" x14ac:dyDescent="0.3">
      <c r="B86" s="11"/>
    </row>
    <row r="87" spans="2:2" ht="14.4" x14ac:dyDescent="0.3">
      <c r="B87" s="11"/>
    </row>
    <row r="88" spans="2:2" ht="14.4" x14ac:dyDescent="0.3">
      <c r="B88" s="11"/>
    </row>
    <row r="89" spans="2:2" ht="14.4" x14ac:dyDescent="0.3">
      <c r="B89" s="11"/>
    </row>
    <row r="90" spans="2:2" ht="14.4" x14ac:dyDescent="0.3">
      <c r="B90" s="11"/>
    </row>
    <row r="91" spans="2:2" ht="14.4" x14ac:dyDescent="0.3">
      <c r="B91" s="11"/>
    </row>
    <row r="92" spans="2:2" ht="14.4" x14ac:dyDescent="0.3">
      <c r="B92" s="11"/>
    </row>
    <row r="93" spans="2:2" ht="14.4" x14ac:dyDescent="0.3">
      <c r="B93" s="11"/>
    </row>
    <row r="94" spans="2:2" ht="14.4" x14ac:dyDescent="0.3">
      <c r="B94" s="8"/>
    </row>
    <row r="95" spans="2:2" ht="14.4" x14ac:dyDescent="0.3">
      <c r="B95" s="11"/>
    </row>
    <row r="96" spans="2:2" ht="14.4" x14ac:dyDescent="0.3">
      <c r="B96" s="11"/>
    </row>
    <row r="97" spans="2:2" ht="14.4" x14ac:dyDescent="0.3">
      <c r="B97" s="11"/>
    </row>
    <row r="98" spans="2:2" ht="14.4" x14ac:dyDescent="0.3">
      <c r="B98" s="11"/>
    </row>
    <row r="99" spans="2:2" ht="14.4" x14ac:dyDescent="0.3">
      <c r="B99" s="11"/>
    </row>
    <row r="100" spans="2:2" ht="14.4" x14ac:dyDescent="0.3">
      <c r="B100" s="11"/>
    </row>
    <row r="101" spans="2:2" ht="14.4" x14ac:dyDescent="0.3">
      <c r="B101" s="2"/>
    </row>
    <row r="102" spans="2:2" ht="14.4" x14ac:dyDescent="0.3">
      <c r="B102" s="11"/>
    </row>
    <row r="103" spans="2:2" ht="14.4" x14ac:dyDescent="0.3">
      <c r="B103" s="11"/>
    </row>
    <row r="104" spans="2:2" ht="14.4" x14ac:dyDescent="0.3">
      <c r="B104" s="11"/>
    </row>
    <row r="105" spans="2:2" ht="14.4" x14ac:dyDescent="0.3">
      <c r="B105" s="11"/>
    </row>
    <row r="106" spans="2:2" ht="14.4" x14ac:dyDescent="0.3">
      <c r="B106" s="11"/>
    </row>
    <row r="107" spans="2:2" ht="14.4" x14ac:dyDescent="0.3">
      <c r="B107" s="2"/>
    </row>
    <row r="108" spans="2:2" ht="14.4" x14ac:dyDescent="0.3">
      <c r="B108" s="2"/>
    </row>
    <row r="109" spans="2:2" ht="14.4" x14ac:dyDescent="0.3">
      <c r="B109" s="2"/>
    </row>
    <row r="110" spans="2:2" ht="14.4" x14ac:dyDescent="0.3">
      <c r="B110" s="2"/>
    </row>
    <row r="111" spans="2:2" ht="14.4" x14ac:dyDescent="0.3">
      <c r="B111" s="2"/>
    </row>
    <row r="112" spans="2:2" ht="14.4" x14ac:dyDescent="0.3">
      <c r="B112" s="7"/>
    </row>
    <row r="113" spans="2:2" ht="14.4" x14ac:dyDescent="0.3">
      <c r="B113" s="2"/>
    </row>
    <row r="114" spans="2:2" ht="14.4" x14ac:dyDescent="0.3">
      <c r="B114" s="2"/>
    </row>
    <row r="115" spans="2:2" ht="14.4" x14ac:dyDescent="0.3">
      <c r="B115" s="10"/>
    </row>
    <row r="116" spans="2:2" ht="14.4" x14ac:dyDescent="0.3">
      <c r="B116" s="8"/>
    </row>
    <row r="117" spans="2:2" ht="14.4" x14ac:dyDescent="0.3">
      <c r="B117" s="2"/>
    </row>
    <row r="118" spans="2:2" ht="14.4" x14ac:dyDescent="0.3">
      <c r="B118" s="2"/>
    </row>
    <row r="119" spans="2:2" ht="14.4" x14ac:dyDescent="0.3">
      <c r="B119" s="2"/>
    </row>
    <row r="120" spans="2:2" ht="14.4" x14ac:dyDescent="0.3">
      <c r="B120" s="12"/>
    </row>
    <row r="121" spans="2:2" ht="14.4" x14ac:dyDescent="0.3">
      <c r="B121" s="2"/>
    </row>
    <row r="122" spans="2:2" ht="14.4" x14ac:dyDescent="0.3">
      <c r="B122" s="7"/>
    </row>
    <row r="123" spans="2:2" ht="14.4" x14ac:dyDescent="0.3">
      <c r="B123" s="2"/>
    </row>
    <row r="124" spans="2:2" ht="14.4" x14ac:dyDescent="0.3">
      <c r="B124" s="2"/>
    </row>
    <row r="125" spans="2:2" ht="14.4" x14ac:dyDescent="0.3">
      <c r="B125" s="2"/>
    </row>
    <row r="126" spans="2:2" ht="14.4" x14ac:dyDescent="0.3">
      <c r="B126" s="2"/>
    </row>
    <row r="127" spans="2:2" ht="14.4" x14ac:dyDescent="0.3">
      <c r="B127" s="13"/>
    </row>
    <row r="128" spans="2:2" ht="14.4" x14ac:dyDescent="0.3">
      <c r="B128" s="8"/>
    </row>
    <row r="129" spans="2:2" ht="14.4" x14ac:dyDescent="0.3">
      <c r="B129" s="8"/>
    </row>
    <row r="130" spans="2:2" ht="14.4" x14ac:dyDescent="0.3">
      <c r="B130" s="18"/>
    </row>
    <row r="131" spans="2:2" ht="19.2" x14ac:dyDescent="0.45">
      <c r="B131" s="20"/>
    </row>
    <row r="132" spans="2:2" ht="14.4" x14ac:dyDescent="0.3">
      <c r="B132" s="18"/>
    </row>
    <row r="133" spans="2:2" ht="14.4" x14ac:dyDescent="0.3">
      <c r="B133" s="21"/>
    </row>
    <row r="134" spans="2:2" ht="14.4" x14ac:dyDescent="0.3">
      <c r="B134" s="19"/>
    </row>
    <row r="135" spans="2:2" ht="14.4" x14ac:dyDescent="0.3">
      <c r="B135" s="19"/>
    </row>
    <row r="140" spans="2:2" ht="14.4" x14ac:dyDescent="0.3">
      <c r="B140" s="6"/>
    </row>
    <row r="141" spans="2:2" ht="14.4" x14ac:dyDescent="0.3">
      <c r="B141" s="6"/>
    </row>
    <row r="142" spans="2:2" ht="14.4" x14ac:dyDescent="0.3">
      <c r="B142" s="6"/>
    </row>
    <row r="143" spans="2:2" ht="14.4" x14ac:dyDescent="0.3">
      <c r="B143" s="6"/>
    </row>
    <row r="144" spans="2:2" ht="14.4" x14ac:dyDescent="0.3">
      <c r="B144" s="6"/>
    </row>
    <row r="145" spans="2:2" ht="14.4" x14ac:dyDescent="0.3">
      <c r="B145" s="6"/>
    </row>
    <row r="146" spans="2:2" ht="14.4" x14ac:dyDescent="0.3">
      <c r="B146" s="6"/>
    </row>
    <row r="147" spans="2:2" ht="14.4" x14ac:dyDescent="0.3">
      <c r="B147" s="6"/>
    </row>
    <row r="148" spans="2:2" ht="14.4" x14ac:dyDescent="0.3">
      <c r="B148" s="41"/>
    </row>
    <row r="149" spans="2:2" ht="14.4" x14ac:dyDescent="0.3">
      <c r="B149" s="42"/>
    </row>
    <row r="150" spans="2:2" ht="14.4" x14ac:dyDescent="0.3">
      <c r="B150"/>
    </row>
    <row r="151" spans="2:2" ht="14.4" x14ac:dyDescent="0.3">
      <c r="B151" s="18"/>
    </row>
    <row r="152" spans="2:2" ht="14.4" x14ac:dyDescent="0.3">
      <c r="B152" s="19"/>
    </row>
  </sheetData>
  <phoneticPr fontId="3" type="noConversion"/>
  <conditionalFormatting sqref="B107">
    <cfRule type="duplicateValues" dxfId="4" priority="4"/>
  </conditionalFormatting>
  <conditionalFormatting sqref="B109">
    <cfRule type="duplicateValues" dxfId="3" priority="3"/>
  </conditionalFormatting>
  <conditionalFormatting sqref="B116">
    <cfRule type="duplicateValues" dxfId="2" priority="2"/>
  </conditionalFormatting>
  <conditionalFormatting sqref="B136:B145">
    <cfRule type="duplicateValues" dxfId="1" priority="1"/>
  </conditionalFormatting>
  <conditionalFormatting sqref="B146 B67 B1:B39 B61 B63:B64 B73:B74 B69 B112 B41:B53 B117 B153:B1048576">
    <cfRule type="duplicateValues" dxfId="0" priority="6"/>
  </conditionalFormatting>
  <dataValidations count="1">
    <dataValidation type="list" allowBlank="1" showInputMessage="1" showErrorMessage="1" sqref="A62:B62 B56 A2:A61 A63:A149" xr:uid="{11E980CC-9E44-40A6-A003-29402607D18D}">
      <formula1>Clientes</formula1>
    </dataValidation>
  </dataValidations>
  <hyperlinks>
    <hyperlink ref="B2" r:id="rId1" display="https://www.booking.com/hotel/co/arvum-boutique.es.html?label=gen173nr-1FCAEoggI46AdIM1gEaDKIAQGYAQq4ARfIARXYAQHoAQH4AQOIAgGoAgO4Auv6ubkGwAIB0gIkNDIxYWRlNzgtZGMxNy00ZTRiLWI1OTctZWE2NjQ2MGNiNGE52AIG4AIB&amp;aid=304142&amp;ucfs=1&amp;arphpl=1&amp;checkin=2024-11-22&amp;checkout=2024-11-30&amp;dest_id=9108472&amp;dest_type=hotel&amp;group_adults=2&amp;req_adults=2&amp;no_rooms=1&amp;group_children=0&amp;req_children=0&amp;hpos=1&amp;hapos=1&amp;sr_order=popularity&amp;srpvid=c9c2957d3a9f0ab7&amp;srepoch=1731100543&amp;all_sr_blocks=910847208_403437473_2_1_0&amp;highlighted_blocks=910847208_403437473_2_1_0&amp;matching_block_id=910847208_403437473_2_1_0&amp;sr_pri_blocks=910847208_403437473_2_1_0__363951706&amp;from_sustainable_property_sr=1&amp;from=searchresults" xr:uid="{84F74EAF-9377-47F2-8224-9350FD9A8512}"/>
    <hyperlink ref="F58" r:id="rId2" display="https://www.booking.com/hotel/co/las-vegas-guatape.es.html?label=msn-u3xw61g22gHFZ*4MwXPLMA-80058326230557%3Atikwd-80058472695317%3Aloc-142114%3Aneo%3Amte%3Alp142114%3Adec%3Aqshotel+las+vegas+guatap%C3%A9&amp;sid=d0e7b2a1316f88f544ee0e1e96c3d09e&amp;utm_source=bing&amp;utm_medium=cpc&amp;utm_term=u3xw61g22gHFZ*4MwXPLMA&amp;utm_campaign=Hotel+-+Colombia+-+Guatape+-+UFI%3A-585862&amp;aid=2276454&amp;ucfs=1&amp;arphpl=1&amp;checkin=2024-11-28&amp;checkout=2024-11-29&amp;dest_id=-585862&amp;dest_type=city&amp;group_adults=2&amp;req_adults=2&amp;no_rooms=1&amp;group_children=0&amp;req_children=0&amp;hpos=1&amp;hapos=1&amp;sr_order=popularity&amp;srpvid=6c96864edd6e008c&amp;srepoch=1732302388&amp;all_sr_blocks=228281201_275939749_0_0_0&amp;highlighted_blocks=228281201_275939749_0_0_0&amp;matching_block_id=228281201_275939749_0_0_0&amp;sr_pri_blocks=228281201_275939749_0_0_0__7110000&amp;from=searchresults" xr:uid="{31C851BC-5CE8-497B-B35C-A7DD3996DF85}"/>
    <hyperlink ref="F59" r:id="rId3" display="https://www.booking.com/hotel/co/las-vegas-guatape.es.html?label=msn-u3xw61g22gHFZ*4MwXPLMA-80058326230557%3Atikwd-80058472695317%3Aloc-142114%3Aneo%3Amte%3Alp142114%3Adec%3Aqshotel+las+vegas+guatap%C3%A9&amp;sid=d0e7b2a1316f88f544ee0e1e96c3d09e&amp;utm_source=bing&amp;utm_medium=cpc&amp;utm_term=u3xw61g22gHFZ*4MwXPLMA&amp;utm_campaign=Hotel+-+Colombia+-+Guatape+-+UFI%3A-585862&amp;aid=2276454&amp;ucfs=1&amp;arphpl=1&amp;checkin=2024-11-28&amp;checkout=2024-11-29&amp;dest_id=-585862&amp;dest_type=city&amp;group_adults=2&amp;req_adults=2&amp;no_rooms=1&amp;group_children=0&amp;req_children=0&amp;hpos=1&amp;hapos=1&amp;sr_order=popularity&amp;srpvid=6c96864edd6e008c&amp;srepoch=1732302388&amp;all_sr_blocks=228281201_275939749_0_0_0&amp;highlighted_blocks=228281201_275939749_0_0_0&amp;matching_block_id=228281201_275939749_0_0_0&amp;sr_pri_blocks=228281201_275939749_0_0_0__7110000&amp;from=searchresults" xr:uid="{19664CF9-6A84-4736-8F72-FA909320114C}"/>
  </hyperlinks>
  <pageMargins left="0.7" right="0.7" top="0.75" bottom="0.75" header="0.3" footer="0.3"/>
  <pageSetup paperSize="9" orientation="portrait" r:id="rId4"/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176F2-6A77-4C34-8EDA-976C834D1280}">
  <dimension ref="A1:J776"/>
  <sheetViews>
    <sheetView showGridLines="0" zoomScale="73" zoomScaleNormal="73" workbookViewId="0">
      <pane ySplit="1" topLeftCell="A300" activePane="bottomLeft" state="frozen"/>
      <selection pane="bottomLeft" activeCell="F274" sqref="F274"/>
    </sheetView>
  </sheetViews>
  <sheetFormatPr baseColWidth="10" defaultRowHeight="14.4" x14ac:dyDescent="0.3"/>
  <cols>
    <col min="1" max="1" width="21.6640625" bestFit="1" customWidth="1"/>
    <col min="2" max="2" width="52.88671875" customWidth="1"/>
    <col min="3" max="3" width="14" style="35" bestFit="1" customWidth="1"/>
    <col min="4" max="4" width="12.6640625" bestFit="1" customWidth="1"/>
    <col min="5" max="5" width="15" style="15" customWidth="1"/>
    <col min="6" max="6" width="15.33203125" style="15" customWidth="1"/>
    <col min="10" max="10" width="15.21875" customWidth="1"/>
  </cols>
  <sheetData>
    <row r="1" spans="1:7" x14ac:dyDescent="0.3">
      <c r="A1" t="s">
        <v>2</v>
      </c>
      <c r="B1" t="s">
        <v>0</v>
      </c>
      <c r="C1" s="35" t="s">
        <v>3</v>
      </c>
      <c r="D1" t="s">
        <v>32</v>
      </c>
      <c r="E1" s="15" t="s">
        <v>33</v>
      </c>
      <c r="F1" s="15" t="s">
        <v>34</v>
      </c>
      <c r="G1" t="s">
        <v>35</v>
      </c>
    </row>
    <row r="2" spans="1:7" ht="15" hidden="1" thickBot="1" x14ac:dyDescent="0.35">
      <c r="A2" t="s">
        <v>4</v>
      </c>
      <c r="B2" t="s">
        <v>13</v>
      </c>
      <c r="C2" s="35">
        <v>16</v>
      </c>
      <c r="D2" s="27">
        <v>16</v>
      </c>
      <c r="E2" s="29">
        <v>553500</v>
      </c>
      <c r="F2" s="32">
        <v>8856000</v>
      </c>
      <c r="G2" s="14">
        <v>45748</v>
      </c>
    </row>
    <row r="3" spans="1:7" ht="15" hidden="1" thickBot="1" x14ac:dyDescent="0.35">
      <c r="A3" t="str">
        <f t="shared" ref="A3:A43" si="0">+A2</f>
        <v>Mariquita</v>
      </c>
      <c r="B3" t="str">
        <f t="shared" ref="B3:B43" si="1">+B2</f>
        <v>Hotel Brisas La Gaviota Mariquit-Tolima</v>
      </c>
      <c r="C3" s="35">
        <v>16</v>
      </c>
      <c r="D3" s="28">
        <v>16</v>
      </c>
      <c r="E3" s="30">
        <v>553500</v>
      </c>
      <c r="F3" s="33">
        <v>8856000</v>
      </c>
      <c r="G3" s="14">
        <v>45749</v>
      </c>
    </row>
    <row r="4" spans="1:7" ht="15" hidden="1" thickBot="1" x14ac:dyDescent="0.35">
      <c r="A4" t="str">
        <f t="shared" si="0"/>
        <v>Mariquita</v>
      </c>
      <c r="B4" t="str">
        <f t="shared" si="1"/>
        <v>Hotel Brisas La Gaviota Mariquit-Tolima</v>
      </c>
      <c r="C4" s="35">
        <v>16</v>
      </c>
      <c r="D4" s="28">
        <v>16</v>
      </c>
      <c r="E4" s="30">
        <v>553500</v>
      </c>
      <c r="F4" s="33">
        <v>8856000</v>
      </c>
      <c r="G4" s="14">
        <v>45750</v>
      </c>
    </row>
    <row r="5" spans="1:7" ht="15" hidden="1" thickBot="1" x14ac:dyDescent="0.35">
      <c r="A5" t="str">
        <f t="shared" si="0"/>
        <v>Mariquita</v>
      </c>
      <c r="B5" t="str">
        <f t="shared" si="1"/>
        <v>Hotel Brisas La Gaviota Mariquit-Tolima</v>
      </c>
      <c r="C5" s="35">
        <v>16</v>
      </c>
      <c r="D5" s="28">
        <v>0</v>
      </c>
      <c r="E5" s="30">
        <v>0</v>
      </c>
      <c r="F5" s="33">
        <v>0</v>
      </c>
      <c r="G5" s="14">
        <v>45751</v>
      </c>
    </row>
    <row r="6" spans="1:7" ht="15" hidden="1" thickBot="1" x14ac:dyDescent="0.35">
      <c r="A6" t="str">
        <f t="shared" si="0"/>
        <v>Mariquita</v>
      </c>
      <c r="B6" t="str">
        <f t="shared" si="1"/>
        <v>Hotel Brisas La Gaviota Mariquit-Tolima</v>
      </c>
      <c r="C6" s="35">
        <v>16</v>
      </c>
      <c r="D6" s="28">
        <v>2</v>
      </c>
      <c r="E6" s="30">
        <v>362500</v>
      </c>
      <c r="F6" s="33">
        <v>725000</v>
      </c>
      <c r="G6" s="14">
        <v>45752</v>
      </c>
    </row>
    <row r="7" spans="1:7" ht="15" hidden="1" thickBot="1" x14ac:dyDescent="0.35">
      <c r="A7" t="str">
        <f t="shared" si="0"/>
        <v>Mariquita</v>
      </c>
      <c r="B7" t="str">
        <f t="shared" si="1"/>
        <v>Hotel Brisas La Gaviota Mariquit-Tolima</v>
      </c>
      <c r="C7" s="35">
        <v>16</v>
      </c>
      <c r="D7" s="28">
        <v>0</v>
      </c>
      <c r="E7" s="30">
        <v>0</v>
      </c>
      <c r="F7" s="33">
        <v>0</v>
      </c>
      <c r="G7" s="14">
        <v>45753</v>
      </c>
    </row>
    <row r="8" spans="1:7" ht="15" hidden="1" thickBot="1" x14ac:dyDescent="0.35">
      <c r="A8" t="str">
        <f t="shared" si="0"/>
        <v>Mariquita</v>
      </c>
      <c r="B8" t="str">
        <f t="shared" si="1"/>
        <v>Hotel Brisas La Gaviota Mariquit-Tolima</v>
      </c>
      <c r="C8" s="35">
        <v>16</v>
      </c>
      <c r="D8" s="28">
        <v>0</v>
      </c>
      <c r="E8" s="30">
        <v>0</v>
      </c>
      <c r="F8" s="33">
        <v>0</v>
      </c>
      <c r="G8" s="14">
        <v>45754</v>
      </c>
    </row>
    <row r="9" spans="1:7" ht="15" hidden="1" thickBot="1" x14ac:dyDescent="0.35">
      <c r="A9" t="str">
        <f t="shared" si="0"/>
        <v>Mariquita</v>
      </c>
      <c r="B9" t="str">
        <f t="shared" si="1"/>
        <v>Hotel Brisas La Gaviota Mariquit-Tolima</v>
      </c>
      <c r="C9" s="35">
        <v>16</v>
      </c>
      <c r="D9" s="28">
        <v>0</v>
      </c>
      <c r="E9" s="30">
        <v>0</v>
      </c>
      <c r="F9" s="33">
        <v>0</v>
      </c>
      <c r="G9" s="14">
        <v>45755</v>
      </c>
    </row>
    <row r="10" spans="1:7" ht="15" hidden="1" thickBot="1" x14ac:dyDescent="0.35">
      <c r="A10" t="str">
        <f t="shared" si="0"/>
        <v>Mariquita</v>
      </c>
      <c r="B10" t="str">
        <f t="shared" si="1"/>
        <v>Hotel Brisas La Gaviota Mariquit-Tolima</v>
      </c>
      <c r="C10" s="35">
        <v>16</v>
      </c>
      <c r="D10" s="28">
        <v>1</v>
      </c>
      <c r="E10" s="30">
        <v>357698</v>
      </c>
      <c r="F10" s="33">
        <v>357698</v>
      </c>
      <c r="G10" s="14">
        <v>45756</v>
      </c>
    </row>
    <row r="11" spans="1:7" ht="15" hidden="1" thickBot="1" x14ac:dyDescent="0.35">
      <c r="A11" t="str">
        <f t="shared" si="0"/>
        <v>Mariquita</v>
      </c>
      <c r="B11" t="str">
        <f t="shared" si="1"/>
        <v>Hotel Brisas La Gaviota Mariquit-Tolima</v>
      </c>
      <c r="C11" s="35">
        <v>16</v>
      </c>
      <c r="D11" s="28">
        <v>1</v>
      </c>
      <c r="E11" s="30">
        <v>357698</v>
      </c>
      <c r="F11" s="33">
        <v>357698</v>
      </c>
      <c r="G11" s="14">
        <v>45757</v>
      </c>
    </row>
    <row r="12" spans="1:7" ht="15" hidden="1" thickBot="1" x14ac:dyDescent="0.35">
      <c r="A12" t="str">
        <f t="shared" si="0"/>
        <v>Mariquita</v>
      </c>
      <c r="B12" t="str">
        <f t="shared" si="1"/>
        <v>Hotel Brisas La Gaviota Mariquit-Tolima</v>
      </c>
      <c r="C12" s="35">
        <v>16</v>
      </c>
      <c r="D12" s="28">
        <v>3</v>
      </c>
      <c r="E12" s="30">
        <v>409233</v>
      </c>
      <c r="F12" s="33">
        <v>1227698</v>
      </c>
      <c r="G12" s="14">
        <v>45758</v>
      </c>
    </row>
    <row r="13" spans="1:7" ht="15" hidden="1" thickBot="1" x14ac:dyDescent="0.35">
      <c r="A13" t="str">
        <f t="shared" si="0"/>
        <v>Mariquita</v>
      </c>
      <c r="B13" t="str">
        <f t="shared" si="1"/>
        <v>Hotel Brisas La Gaviota Mariquit-Tolima</v>
      </c>
      <c r="C13" s="35">
        <v>16</v>
      </c>
      <c r="D13" s="28">
        <v>9</v>
      </c>
      <c r="E13" s="30">
        <v>385411</v>
      </c>
      <c r="F13" s="33">
        <v>3468696</v>
      </c>
      <c r="G13" s="14">
        <v>45759</v>
      </c>
    </row>
    <row r="14" spans="1:7" ht="15" hidden="1" thickBot="1" x14ac:dyDescent="0.35">
      <c r="A14" t="str">
        <f t="shared" si="0"/>
        <v>Mariquita</v>
      </c>
      <c r="B14" t="str">
        <f t="shared" si="1"/>
        <v>Hotel Brisas La Gaviota Mariquit-Tolima</v>
      </c>
      <c r="C14" s="35">
        <v>16</v>
      </c>
      <c r="D14" s="28">
        <v>9</v>
      </c>
      <c r="E14" s="30">
        <v>388186</v>
      </c>
      <c r="F14" s="33">
        <v>3493673</v>
      </c>
      <c r="G14" s="14">
        <v>45760</v>
      </c>
    </row>
    <row r="15" spans="1:7" ht="15" hidden="1" thickBot="1" x14ac:dyDescent="0.35">
      <c r="A15" t="str">
        <f t="shared" si="0"/>
        <v>Mariquita</v>
      </c>
      <c r="B15" t="str">
        <f t="shared" si="1"/>
        <v>Hotel Brisas La Gaviota Mariquit-Tolima</v>
      </c>
      <c r="C15" s="35">
        <v>16</v>
      </c>
      <c r="D15" s="28">
        <v>5</v>
      </c>
      <c r="E15" s="30">
        <v>532540</v>
      </c>
      <c r="F15" s="33">
        <v>2662702</v>
      </c>
      <c r="G15" s="14">
        <v>45761</v>
      </c>
    </row>
    <row r="16" spans="1:7" ht="15" hidden="1" thickBot="1" x14ac:dyDescent="0.35">
      <c r="A16" t="str">
        <f t="shared" si="0"/>
        <v>Mariquita</v>
      </c>
      <c r="B16" t="str">
        <f t="shared" si="1"/>
        <v>Hotel Brisas La Gaviota Mariquit-Tolima</v>
      </c>
      <c r="C16" s="35">
        <v>16</v>
      </c>
      <c r="D16" s="28">
        <v>8</v>
      </c>
      <c r="E16" s="30">
        <v>484635</v>
      </c>
      <c r="F16" s="33">
        <v>3877077</v>
      </c>
      <c r="G16" s="14">
        <v>45762</v>
      </c>
    </row>
    <row r="17" spans="1:7" ht="15" hidden="1" thickBot="1" x14ac:dyDescent="0.35">
      <c r="A17" t="str">
        <f t="shared" si="0"/>
        <v>Mariquita</v>
      </c>
      <c r="B17" t="str">
        <f t="shared" si="1"/>
        <v>Hotel Brisas La Gaviota Mariquit-Tolima</v>
      </c>
      <c r="C17" s="35">
        <v>16</v>
      </c>
      <c r="D17" s="28">
        <v>16</v>
      </c>
      <c r="E17" s="30">
        <v>483707</v>
      </c>
      <c r="F17" s="33">
        <v>7739315</v>
      </c>
      <c r="G17" s="14">
        <v>45763</v>
      </c>
    </row>
    <row r="18" spans="1:7" ht="15" hidden="1" thickBot="1" x14ac:dyDescent="0.35">
      <c r="A18" t="str">
        <f t="shared" si="0"/>
        <v>Mariquita</v>
      </c>
      <c r="B18" t="str">
        <f t="shared" si="1"/>
        <v>Hotel Brisas La Gaviota Mariquit-Tolima</v>
      </c>
      <c r="C18" s="35">
        <v>16</v>
      </c>
      <c r="D18" s="28">
        <v>17</v>
      </c>
      <c r="E18" s="30">
        <v>462685</v>
      </c>
      <c r="F18" s="33">
        <v>7865639</v>
      </c>
      <c r="G18" s="14">
        <v>45764</v>
      </c>
    </row>
    <row r="19" spans="1:7" ht="15" hidden="1" thickBot="1" x14ac:dyDescent="0.35">
      <c r="A19" t="str">
        <f t="shared" si="0"/>
        <v>Mariquita</v>
      </c>
      <c r="B19" t="str">
        <f t="shared" si="1"/>
        <v>Hotel Brisas La Gaviota Mariquit-Tolima</v>
      </c>
      <c r="C19" s="35">
        <v>16</v>
      </c>
      <c r="D19" s="28">
        <v>16</v>
      </c>
      <c r="E19" s="30">
        <v>453164</v>
      </c>
      <c r="F19" s="33">
        <v>7250627</v>
      </c>
      <c r="G19" s="14">
        <v>45765</v>
      </c>
    </row>
    <row r="20" spans="1:7" ht="15" hidden="1" thickBot="1" x14ac:dyDescent="0.35">
      <c r="A20" t="str">
        <f t="shared" si="0"/>
        <v>Mariquita</v>
      </c>
      <c r="B20" t="str">
        <f t="shared" si="1"/>
        <v>Hotel Brisas La Gaviota Mariquit-Tolima</v>
      </c>
      <c r="C20" s="35">
        <v>16</v>
      </c>
      <c r="D20" s="28">
        <v>8</v>
      </c>
      <c r="E20" s="30">
        <v>468940</v>
      </c>
      <c r="F20" s="33">
        <v>3751519</v>
      </c>
      <c r="G20" s="14">
        <v>45766</v>
      </c>
    </row>
    <row r="21" spans="1:7" ht="15" hidden="1" thickBot="1" x14ac:dyDescent="0.35">
      <c r="A21" t="str">
        <f t="shared" si="0"/>
        <v>Mariquita</v>
      </c>
      <c r="B21" t="str">
        <f t="shared" si="1"/>
        <v>Hotel Brisas La Gaviota Mariquit-Tolima</v>
      </c>
      <c r="C21" s="35">
        <v>16</v>
      </c>
      <c r="D21" s="28">
        <v>3</v>
      </c>
      <c r="E21" s="30">
        <v>150000</v>
      </c>
      <c r="F21" s="33">
        <v>450000</v>
      </c>
      <c r="G21" s="14">
        <v>45767</v>
      </c>
    </row>
    <row r="22" spans="1:7" ht="15" hidden="1" thickBot="1" x14ac:dyDescent="0.35">
      <c r="A22" t="str">
        <f t="shared" si="0"/>
        <v>Mariquita</v>
      </c>
      <c r="B22" t="str">
        <f t="shared" si="1"/>
        <v>Hotel Brisas La Gaviota Mariquit-Tolima</v>
      </c>
      <c r="C22" s="35">
        <v>16</v>
      </c>
      <c r="D22" s="28">
        <v>2</v>
      </c>
      <c r="E22" s="30">
        <v>252400</v>
      </c>
      <c r="F22" s="33">
        <v>504800</v>
      </c>
      <c r="G22" s="14">
        <v>45768</v>
      </c>
    </row>
    <row r="23" spans="1:7" ht="15" hidden="1" thickBot="1" x14ac:dyDescent="0.35">
      <c r="A23" t="str">
        <f t="shared" si="0"/>
        <v>Mariquita</v>
      </c>
      <c r="B23" t="str">
        <f t="shared" si="1"/>
        <v>Hotel Brisas La Gaviota Mariquit-Tolima</v>
      </c>
      <c r="C23" s="35">
        <v>16</v>
      </c>
      <c r="D23" s="28">
        <v>2</v>
      </c>
      <c r="E23" s="30">
        <v>390000</v>
      </c>
      <c r="F23" s="33">
        <v>780000</v>
      </c>
      <c r="G23" s="14">
        <v>45769</v>
      </c>
    </row>
    <row r="24" spans="1:7" ht="15" hidden="1" thickBot="1" x14ac:dyDescent="0.35">
      <c r="A24" t="str">
        <f t="shared" si="0"/>
        <v>Mariquita</v>
      </c>
      <c r="B24" t="str">
        <f t="shared" si="1"/>
        <v>Hotel Brisas La Gaviota Mariquit-Tolima</v>
      </c>
      <c r="C24" s="35">
        <v>16</v>
      </c>
      <c r="D24" s="28">
        <v>0</v>
      </c>
      <c r="E24" s="30">
        <v>0</v>
      </c>
      <c r="F24" s="33">
        <v>0</v>
      </c>
      <c r="G24" s="14">
        <v>45770</v>
      </c>
    </row>
    <row r="25" spans="1:7" ht="15" hidden="1" thickBot="1" x14ac:dyDescent="0.35">
      <c r="A25" t="str">
        <f t="shared" si="0"/>
        <v>Mariquita</v>
      </c>
      <c r="B25" t="str">
        <f t="shared" si="1"/>
        <v>Hotel Brisas La Gaviota Mariquit-Tolima</v>
      </c>
      <c r="C25" s="35">
        <v>16</v>
      </c>
      <c r="D25" s="28">
        <v>0</v>
      </c>
      <c r="E25" s="30">
        <v>0</v>
      </c>
      <c r="F25" s="33">
        <v>0</v>
      </c>
      <c r="G25" s="14">
        <v>45771</v>
      </c>
    </row>
    <row r="26" spans="1:7" ht="15" hidden="1" thickBot="1" x14ac:dyDescent="0.35">
      <c r="A26" t="str">
        <f t="shared" si="0"/>
        <v>Mariquita</v>
      </c>
      <c r="B26" t="str">
        <f t="shared" si="1"/>
        <v>Hotel Brisas La Gaviota Mariquit-Tolima</v>
      </c>
      <c r="C26" s="35">
        <v>16</v>
      </c>
      <c r="D26" s="28">
        <v>0</v>
      </c>
      <c r="E26" s="30">
        <v>0</v>
      </c>
      <c r="F26" s="33">
        <v>0</v>
      </c>
      <c r="G26" s="14">
        <v>45772</v>
      </c>
    </row>
    <row r="27" spans="1:7" ht="15" hidden="1" thickBot="1" x14ac:dyDescent="0.35">
      <c r="A27" t="str">
        <f t="shared" si="0"/>
        <v>Mariquita</v>
      </c>
      <c r="B27" t="str">
        <f t="shared" si="1"/>
        <v>Hotel Brisas La Gaviota Mariquit-Tolima</v>
      </c>
      <c r="C27" s="35">
        <v>16</v>
      </c>
      <c r="D27" s="28">
        <v>4</v>
      </c>
      <c r="E27" s="30">
        <v>269822</v>
      </c>
      <c r="F27" s="33">
        <v>1079286</v>
      </c>
      <c r="G27" s="14">
        <v>45773</v>
      </c>
    </row>
    <row r="28" spans="1:7" ht="15" hidden="1" thickBot="1" x14ac:dyDescent="0.35">
      <c r="A28" t="str">
        <f t="shared" si="0"/>
        <v>Mariquita</v>
      </c>
      <c r="B28" t="str">
        <f t="shared" si="1"/>
        <v>Hotel Brisas La Gaviota Mariquit-Tolima</v>
      </c>
      <c r="C28" s="35">
        <v>16</v>
      </c>
      <c r="D28" s="28">
        <v>0</v>
      </c>
      <c r="E28" s="30">
        <v>0</v>
      </c>
      <c r="F28" s="33">
        <v>0</v>
      </c>
      <c r="G28" s="14">
        <v>45774</v>
      </c>
    </row>
    <row r="29" spans="1:7" ht="15" hidden="1" thickBot="1" x14ac:dyDescent="0.35">
      <c r="A29" t="str">
        <f t="shared" si="0"/>
        <v>Mariquita</v>
      </c>
      <c r="B29" t="str">
        <f t="shared" si="1"/>
        <v>Hotel Brisas La Gaviota Mariquit-Tolima</v>
      </c>
      <c r="C29" s="35">
        <v>16</v>
      </c>
      <c r="D29" s="28">
        <v>1</v>
      </c>
      <c r="E29" s="30">
        <v>391680</v>
      </c>
      <c r="F29" s="33">
        <v>391680</v>
      </c>
      <c r="G29" s="14">
        <v>45775</v>
      </c>
    </row>
    <row r="30" spans="1:7" ht="15" hidden="1" thickBot="1" x14ac:dyDescent="0.35">
      <c r="A30" t="str">
        <f t="shared" si="0"/>
        <v>Mariquita</v>
      </c>
      <c r="B30" t="str">
        <f t="shared" si="1"/>
        <v>Hotel Brisas La Gaviota Mariquit-Tolima</v>
      </c>
      <c r="C30" s="35">
        <v>16</v>
      </c>
      <c r="D30" s="28">
        <v>1</v>
      </c>
      <c r="E30" s="30">
        <v>391680</v>
      </c>
      <c r="F30" s="33">
        <v>391680</v>
      </c>
      <c r="G30" s="14">
        <v>45776</v>
      </c>
    </row>
    <row r="31" spans="1:7" ht="15" hidden="1" thickBot="1" x14ac:dyDescent="0.35">
      <c r="A31" t="str">
        <f t="shared" si="0"/>
        <v>Mariquita</v>
      </c>
      <c r="B31" t="str">
        <f t="shared" si="1"/>
        <v>Hotel Brisas La Gaviota Mariquit-Tolima</v>
      </c>
      <c r="C31" s="35">
        <v>16</v>
      </c>
      <c r="D31" s="28">
        <v>2</v>
      </c>
      <c r="E31" s="30">
        <v>325840</v>
      </c>
      <c r="F31" s="33">
        <v>651680</v>
      </c>
      <c r="G31" s="14">
        <v>45777</v>
      </c>
    </row>
    <row r="32" spans="1:7" hidden="1" x14ac:dyDescent="0.3">
      <c r="A32" t="str">
        <f t="shared" si="0"/>
        <v>Mariquita</v>
      </c>
      <c r="B32" t="str">
        <f t="shared" si="1"/>
        <v>Hotel Brisas La Gaviota Mariquit-Tolima</v>
      </c>
      <c r="G32" s="14">
        <v>45778</v>
      </c>
    </row>
    <row r="33" spans="1:7" hidden="1" x14ac:dyDescent="0.3">
      <c r="A33" t="str">
        <f t="shared" si="0"/>
        <v>Mariquita</v>
      </c>
      <c r="B33" t="str">
        <f t="shared" si="1"/>
        <v>Hotel Brisas La Gaviota Mariquit-Tolima</v>
      </c>
      <c r="G33" s="14">
        <v>45779</v>
      </c>
    </row>
    <row r="34" spans="1:7" hidden="1" x14ac:dyDescent="0.3">
      <c r="A34" t="str">
        <f t="shared" si="0"/>
        <v>Mariquita</v>
      </c>
      <c r="B34" t="str">
        <f t="shared" si="1"/>
        <v>Hotel Brisas La Gaviota Mariquit-Tolima</v>
      </c>
      <c r="G34" s="14">
        <v>45780</v>
      </c>
    </row>
    <row r="35" spans="1:7" hidden="1" x14ac:dyDescent="0.3">
      <c r="A35" t="str">
        <f t="shared" si="0"/>
        <v>Mariquita</v>
      </c>
      <c r="B35" t="str">
        <f t="shared" si="1"/>
        <v>Hotel Brisas La Gaviota Mariquit-Tolima</v>
      </c>
      <c r="G35" s="14">
        <v>45781</v>
      </c>
    </row>
    <row r="36" spans="1:7" hidden="1" x14ac:dyDescent="0.3">
      <c r="A36" t="str">
        <f t="shared" si="0"/>
        <v>Mariquita</v>
      </c>
      <c r="B36" t="str">
        <f t="shared" si="1"/>
        <v>Hotel Brisas La Gaviota Mariquit-Tolima</v>
      </c>
      <c r="G36" s="14">
        <v>45782</v>
      </c>
    </row>
    <row r="37" spans="1:7" hidden="1" x14ac:dyDescent="0.3">
      <c r="A37" t="str">
        <f t="shared" si="0"/>
        <v>Mariquita</v>
      </c>
      <c r="B37" t="str">
        <f t="shared" si="1"/>
        <v>Hotel Brisas La Gaviota Mariquit-Tolima</v>
      </c>
      <c r="G37" s="14">
        <v>45783</v>
      </c>
    </row>
    <row r="38" spans="1:7" hidden="1" x14ac:dyDescent="0.3">
      <c r="A38" t="str">
        <f t="shared" si="0"/>
        <v>Mariquita</v>
      </c>
      <c r="B38" t="str">
        <f t="shared" si="1"/>
        <v>Hotel Brisas La Gaviota Mariquit-Tolima</v>
      </c>
      <c r="G38" s="14">
        <v>45784</v>
      </c>
    </row>
    <row r="39" spans="1:7" hidden="1" x14ac:dyDescent="0.3">
      <c r="A39" t="str">
        <f t="shared" si="0"/>
        <v>Mariquita</v>
      </c>
      <c r="B39" t="str">
        <f t="shared" si="1"/>
        <v>Hotel Brisas La Gaviota Mariquit-Tolima</v>
      </c>
      <c r="G39" s="14">
        <v>45785</v>
      </c>
    </row>
    <row r="40" spans="1:7" hidden="1" x14ac:dyDescent="0.3">
      <c r="A40" t="str">
        <f t="shared" si="0"/>
        <v>Mariquita</v>
      </c>
      <c r="B40" t="str">
        <f t="shared" si="1"/>
        <v>Hotel Brisas La Gaviota Mariquit-Tolima</v>
      </c>
      <c r="G40" s="14">
        <v>45786</v>
      </c>
    </row>
    <row r="41" spans="1:7" hidden="1" x14ac:dyDescent="0.3">
      <c r="A41" t="str">
        <f t="shared" si="0"/>
        <v>Mariquita</v>
      </c>
      <c r="B41" t="str">
        <f t="shared" si="1"/>
        <v>Hotel Brisas La Gaviota Mariquit-Tolima</v>
      </c>
      <c r="G41" s="14">
        <v>45787</v>
      </c>
    </row>
    <row r="42" spans="1:7" hidden="1" x14ac:dyDescent="0.3">
      <c r="A42" t="str">
        <f t="shared" si="0"/>
        <v>Mariquita</v>
      </c>
      <c r="B42" t="str">
        <f t="shared" si="1"/>
        <v>Hotel Brisas La Gaviota Mariquit-Tolima</v>
      </c>
      <c r="G42" s="14">
        <v>45788</v>
      </c>
    </row>
    <row r="43" spans="1:7" hidden="1" x14ac:dyDescent="0.3">
      <c r="A43" t="str">
        <f t="shared" si="0"/>
        <v>Mariquita</v>
      </c>
      <c r="B43" t="str">
        <f t="shared" si="1"/>
        <v>Hotel Brisas La Gaviota Mariquit-Tolima</v>
      </c>
      <c r="G43" s="14">
        <v>45789</v>
      </c>
    </row>
    <row r="44" spans="1:7" hidden="1" x14ac:dyDescent="0.3">
      <c r="A44" t="s">
        <v>8</v>
      </c>
      <c r="B44" t="s">
        <v>16</v>
      </c>
      <c r="G44" s="14">
        <v>45748</v>
      </c>
    </row>
    <row r="45" spans="1:7" hidden="1" x14ac:dyDescent="0.3">
      <c r="A45" t="str">
        <f t="shared" ref="A45:A85" si="2">+A44</f>
        <v>EL PEÑOL, GUATAPÉ</v>
      </c>
      <c r="B45" t="str">
        <f t="shared" ref="B45:B85" si="3">+B44</f>
        <v>Domus Glamping Guatapé</v>
      </c>
      <c r="G45" s="14">
        <v>45749</v>
      </c>
    </row>
    <row r="46" spans="1:7" hidden="1" x14ac:dyDescent="0.3">
      <c r="A46" t="str">
        <f t="shared" si="2"/>
        <v>EL PEÑOL, GUATAPÉ</v>
      </c>
      <c r="B46" t="str">
        <f t="shared" si="3"/>
        <v>Domus Glamping Guatapé</v>
      </c>
      <c r="G46" s="14">
        <v>45750</v>
      </c>
    </row>
    <row r="47" spans="1:7" hidden="1" x14ac:dyDescent="0.3">
      <c r="A47" t="str">
        <f t="shared" si="2"/>
        <v>EL PEÑOL, GUATAPÉ</v>
      </c>
      <c r="B47" t="str">
        <f t="shared" si="3"/>
        <v>Domus Glamping Guatapé</v>
      </c>
      <c r="G47" s="14">
        <v>45751</v>
      </c>
    </row>
    <row r="48" spans="1:7" hidden="1" x14ac:dyDescent="0.3">
      <c r="A48" t="str">
        <f t="shared" si="2"/>
        <v>EL PEÑOL, GUATAPÉ</v>
      </c>
      <c r="B48" t="str">
        <f t="shared" si="3"/>
        <v>Domus Glamping Guatapé</v>
      </c>
      <c r="G48" s="14">
        <v>45752</v>
      </c>
    </row>
    <row r="49" spans="1:7" hidden="1" x14ac:dyDescent="0.3">
      <c r="A49" t="str">
        <f t="shared" si="2"/>
        <v>EL PEÑOL, GUATAPÉ</v>
      </c>
      <c r="B49" t="str">
        <f t="shared" si="3"/>
        <v>Domus Glamping Guatapé</v>
      </c>
      <c r="G49" s="14">
        <v>45753</v>
      </c>
    </row>
    <row r="50" spans="1:7" hidden="1" x14ac:dyDescent="0.3">
      <c r="A50" t="str">
        <f t="shared" si="2"/>
        <v>EL PEÑOL, GUATAPÉ</v>
      </c>
      <c r="B50" t="str">
        <f t="shared" si="3"/>
        <v>Domus Glamping Guatapé</v>
      </c>
      <c r="G50" s="14">
        <v>45754</v>
      </c>
    </row>
    <row r="51" spans="1:7" hidden="1" x14ac:dyDescent="0.3">
      <c r="A51" t="str">
        <f t="shared" si="2"/>
        <v>EL PEÑOL, GUATAPÉ</v>
      </c>
      <c r="B51" t="str">
        <f t="shared" si="3"/>
        <v>Domus Glamping Guatapé</v>
      </c>
      <c r="G51" s="14">
        <v>45755</v>
      </c>
    </row>
    <row r="52" spans="1:7" hidden="1" x14ac:dyDescent="0.3">
      <c r="A52" t="str">
        <f t="shared" si="2"/>
        <v>EL PEÑOL, GUATAPÉ</v>
      </c>
      <c r="B52" t="str">
        <f t="shared" si="3"/>
        <v>Domus Glamping Guatapé</v>
      </c>
      <c r="G52" s="14">
        <v>45756</v>
      </c>
    </row>
    <row r="53" spans="1:7" hidden="1" x14ac:dyDescent="0.3">
      <c r="A53" t="str">
        <f t="shared" si="2"/>
        <v>EL PEÑOL, GUATAPÉ</v>
      </c>
      <c r="B53" t="str">
        <f t="shared" si="3"/>
        <v>Domus Glamping Guatapé</v>
      </c>
      <c r="G53" s="14">
        <v>45757</v>
      </c>
    </row>
    <row r="54" spans="1:7" hidden="1" x14ac:dyDescent="0.3">
      <c r="A54" t="str">
        <f t="shared" si="2"/>
        <v>EL PEÑOL, GUATAPÉ</v>
      </c>
      <c r="B54" t="str">
        <f t="shared" si="3"/>
        <v>Domus Glamping Guatapé</v>
      </c>
      <c r="G54" s="14">
        <v>45758</v>
      </c>
    </row>
    <row r="55" spans="1:7" hidden="1" x14ac:dyDescent="0.3">
      <c r="A55" t="str">
        <f t="shared" si="2"/>
        <v>EL PEÑOL, GUATAPÉ</v>
      </c>
      <c r="B55" t="str">
        <f t="shared" si="3"/>
        <v>Domus Glamping Guatapé</v>
      </c>
      <c r="G55" s="14">
        <v>45759</v>
      </c>
    </row>
    <row r="56" spans="1:7" hidden="1" x14ac:dyDescent="0.3">
      <c r="A56" t="str">
        <f t="shared" si="2"/>
        <v>EL PEÑOL, GUATAPÉ</v>
      </c>
      <c r="B56" t="str">
        <f t="shared" si="3"/>
        <v>Domus Glamping Guatapé</v>
      </c>
      <c r="G56" s="14">
        <v>45760</v>
      </c>
    </row>
    <row r="57" spans="1:7" hidden="1" x14ac:dyDescent="0.3">
      <c r="A57" t="str">
        <f t="shared" si="2"/>
        <v>EL PEÑOL, GUATAPÉ</v>
      </c>
      <c r="B57" t="str">
        <f t="shared" si="3"/>
        <v>Domus Glamping Guatapé</v>
      </c>
      <c r="G57" s="14">
        <v>45761</v>
      </c>
    </row>
    <row r="58" spans="1:7" hidden="1" x14ac:dyDescent="0.3">
      <c r="A58" t="str">
        <f t="shared" si="2"/>
        <v>EL PEÑOL, GUATAPÉ</v>
      </c>
      <c r="B58" t="str">
        <f t="shared" si="3"/>
        <v>Domus Glamping Guatapé</v>
      </c>
      <c r="G58" s="14">
        <v>45762</v>
      </c>
    </row>
    <row r="59" spans="1:7" hidden="1" x14ac:dyDescent="0.3">
      <c r="A59" t="str">
        <f t="shared" si="2"/>
        <v>EL PEÑOL, GUATAPÉ</v>
      </c>
      <c r="B59" t="str">
        <f t="shared" si="3"/>
        <v>Domus Glamping Guatapé</v>
      </c>
      <c r="G59" s="14">
        <v>45763</v>
      </c>
    </row>
    <row r="60" spans="1:7" hidden="1" x14ac:dyDescent="0.3">
      <c r="A60" t="str">
        <f t="shared" si="2"/>
        <v>EL PEÑOL, GUATAPÉ</v>
      </c>
      <c r="B60" t="str">
        <f t="shared" si="3"/>
        <v>Domus Glamping Guatapé</v>
      </c>
      <c r="G60" s="14">
        <v>45764</v>
      </c>
    </row>
    <row r="61" spans="1:7" hidden="1" x14ac:dyDescent="0.3">
      <c r="A61" t="str">
        <f t="shared" si="2"/>
        <v>EL PEÑOL, GUATAPÉ</v>
      </c>
      <c r="B61" t="str">
        <f t="shared" si="3"/>
        <v>Domus Glamping Guatapé</v>
      </c>
      <c r="G61" s="14">
        <v>45765</v>
      </c>
    </row>
    <row r="62" spans="1:7" hidden="1" x14ac:dyDescent="0.3">
      <c r="A62" t="str">
        <f t="shared" si="2"/>
        <v>EL PEÑOL, GUATAPÉ</v>
      </c>
      <c r="B62" t="str">
        <f t="shared" si="3"/>
        <v>Domus Glamping Guatapé</v>
      </c>
      <c r="G62" s="14">
        <v>45766</v>
      </c>
    </row>
    <row r="63" spans="1:7" hidden="1" x14ac:dyDescent="0.3">
      <c r="A63" t="str">
        <f t="shared" si="2"/>
        <v>EL PEÑOL, GUATAPÉ</v>
      </c>
      <c r="B63" t="str">
        <f t="shared" si="3"/>
        <v>Domus Glamping Guatapé</v>
      </c>
      <c r="G63" s="14">
        <v>45767</v>
      </c>
    </row>
    <row r="64" spans="1:7" hidden="1" x14ac:dyDescent="0.3">
      <c r="A64" t="str">
        <f t="shared" si="2"/>
        <v>EL PEÑOL, GUATAPÉ</v>
      </c>
      <c r="B64" t="str">
        <f t="shared" si="3"/>
        <v>Domus Glamping Guatapé</v>
      </c>
      <c r="G64" s="14">
        <v>45768</v>
      </c>
    </row>
    <row r="65" spans="1:7" hidden="1" x14ac:dyDescent="0.3">
      <c r="A65" t="str">
        <f t="shared" si="2"/>
        <v>EL PEÑOL, GUATAPÉ</v>
      </c>
      <c r="B65" t="str">
        <f t="shared" si="3"/>
        <v>Domus Glamping Guatapé</v>
      </c>
      <c r="G65" s="14">
        <v>45769</v>
      </c>
    </row>
    <row r="66" spans="1:7" hidden="1" x14ac:dyDescent="0.3">
      <c r="A66" t="str">
        <f t="shared" si="2"/>
        <v>EL PEÑOL, GUATAPÉ</v>
      </c>
      <c r="B66" t="str">
        <f t="shared" si="3"/>
        <v>Domus Glamping Guatapé</v>
      </c>
      <c r="G66" s="14">
        <v>45770</v>
      </c>
    </row>
    <row r="67" spans="1:7" hidden="1" x14ac:dyDescent="0.3">
      <c r="A67" t="str">
        <f t="shared" si="2"/>
        <v>EL PEÑOL, GUATAPÉ</v>
      </c>
      <c r="B67" t="str">
        <f t="shared" si="3"/>
        <v>Domus Glamping Guatapé</v>
      </c>
      <c r="G67" s="14">
        <v>45771</v>
      </c>
    </row>
    <row r="68" spans="1:7" hidden="1" x14ac:dyDescent="0.3">
      <c r="A68" t="str">
        <f t="shared" si="2"/>
        <v>EL PEÑOL, GUATAPÉ</v>
      </c>
      <c r="B68" t="str">
        <f t="shared" si="3"/>
        <v>Domus Glamping Guatapé</v>
      </c>
      <c r="G68" s="14">
        <v>45772</v>
      </c>
    </row>
    <row r="69" spans="1:7" hidden="1" x14ac:dyDescent="0.3">
      <c r="A69" t="str">
        <f t="shared" si="2"/>
        <v>EL PEÑOL, GUATAPÉ</v>
      </c>
      <c r="B69" t="str">
        <f t="shared" si="3"/>
        <v>Domus Glamping Guatapé</v>
      </c>
      <c r="G69" s="14">
        <v>45773</v>
      </c>
    </row>
    <row r="70" spans="1:7" hidden="1" x14ac:dyDescent="0.3">
      <c r="A70" t="str">
        <f t="shared" si="2"/>
        <v>EL PEÑOL, GUATAPÉ</v>
      </c>
      <c r="B70" t="str">
        <f t="shared" si="3"/>
        <v>Domus Glamping Guatapé</v>
      </c>
      <c r="G70" s="14">
        <v>45774</v>
      </c>
    </row>
    <row r="71" spans="1:7" hidden="1" x14ac:dyDescent="0.3">
      <c r="A71" t="str">
        <f t="shared" si="2"/>
        <v>EL PEÑOL, GUATAPÉ</v>
      </c>
      <c r="B71" t="str">
        <f t="shared" si="3"/>
        <v>Domus Glamping Guatapé</v>
      </c>
      <c r="G71" s="14">
        <v>45775</v>
      </c>
    </row>
    <row r="72" spans="1:7" hidden="1" x14ac:dyDescent="0.3">
      <c r="A72" t="str">
        <f t="shared" si="2"/>
        <v>EL PEÑOL, GUATAPÉ</v>
      </c>
      <c r="B72" t="str">
        <f t="shared" si="3"/>
        <v>Domus Glamping Guatapé</v>
      </c>
      <c r="G72" s="14">
        <v>45776</v>
      </c>
    </row>
    <row r="73" spans="1:7" hidden="1" x14ac:dyDescent="0.3">
      <c r="A73" t="str">
        <f t="shared" si="2"/>
        <v>EL PEÑOL, GUATAPÉ</v>
      </c>
      <c r="B73" t="str">
        <f t="shared" si="3"/>
        <v>Domus Glamping Guatapé</v>
      </c>
      <c r="G73" s="14">
        <v>45777</v>
      </c>
    </row>
    <row r="74" spans="1:7" hidden="1" x14ac:dyDescent="0.3">
      <c r="A74" t="str">
        <f t="shared" si="2"/>
        <v>EL PEÑOL, GUATAPÉ</v>
      </c>
      <c r="B74" t="str">
        <f t="shared" si="3"/>
        <v>Domus Glamping Guatapé</v>
      </c>
      <c r="G74" s="14">
        <v>45778</v>
      </c>
    </row>
    <row r="75" spans="1:7" hidden="1" x14ac:dyDescent="0.3">
      <c r="A75" t="str">
        <f t="shared" si="2"/>
        <v>EL PEÑOL, GUATAPÉ</v>
      </c>
      <c r="B75" t="str">
        <f t="shared" si="3"/>
        <v>Domus Glamping Guatapé</v>
      </c>
      <c r="G75" s="14">
        <v>45779</v>
      </c>
    </row>
    <row r="76" spans="1:7" hidden="1" x14ac:dyDescent="0.3">
      <c r="A76" t="str">
        <f t="shared" si="2"/>
        <v>EL PEÑOL, GUATAPÉ</v>
      </c>
      <c r="B76" t="str">
        <f t="shared" si="3"/>
        <v>Domus Glamping Guatapé</v>
      </c>
      <c r="G76" s="14">
        <v>45780</v>
      </c>
    </row>
    <row r="77" spans="1:7" hidden="1" x14ac:dyDescent="0.3">
      <c r="A77" t="str">
        <f t="shared" si="2"/>
        <v>EL PEÑOL, GUATAPÉ</v>
      </c>
      <c r="B77" t="str">
        <f t="shared" si="3"/>
        <v>Domus Glamping Guatapé</v>
      </c>
      <c r="G77" s="14">
        <v>45781</v>
      </c>
    </row>
    <row r="78" spans="1:7" hidden="1" x14ac:dyDescent="0.3">
      <c r="A78" t="str">
        <f t="shared" si="2"/>
        <v>EL PEÑOL, GUATAPÉ</v>
      </c>
      <c r="B78" t="str">
        <f t="shared" si="3"/>
        <v>Domus Glamping Guatapé</v>
      </c>
      <c r="G78" s="14">
        <v>45782</v>
      </c>
    </row>
    <row r="79" spans="1:7" hidden="1" x14ac:dyDescent="0.3">
      <c r="A79" t="str">
        <f t="shared" si="2"/>
        <v>EL PEÑOL, GUATAPÉ</v>
      </c>
      <c r="B79" t="str">
        <f t="shared" si="3"/>
        <v>Domus Glamping Guatapé</v>
      </c>
      <c r="G79" s="14">
        <v>45783</v>
      </c>
    </row>
    <row r="80" spans="1:7" hidden="1" x14ac:dyDescent="0.3">
      <c r="A80" t="str">
        <f t="shared" si="2"/>
        <v>EL PEÑOL, GUATAPÉ</v>
      </c>
      <c r="B80" t="str">
        <f t="shared" si="3"/>
        <v>Domus Glamping Guatapé</v>
      </c>
      <c r="G80" s="14">
        <v>45784</v>
      </c>
    </row>
    <row r="81" spans="1:7" hidden="1" x14ac:dyDescent="0.3">
      <c r="A81" t="str">
        <f t="shared" si="2"/>
        <v>EL PEÑOL, GUATAPÉ</v>
      </c>
      <c r="B81" t="str">
        <f t="shared" si="3"/>
        <v>Domus Glamping Guatapé</v>
      </c>
      <c r="G81" s="14">
        <v>45785</v>
      </c>
    </row>
    <row r="82" spans="1:7" hidden="1" x14ac:dyDescent="0.3">
      <c r="A82" t="str">
        <f t="shared" si="2"/>
        <v>EL PEÑOL, GUATAPÉ</v>
      </c>
      <c r="B82" t="str">
        <f t="shared" si="3"/>
        <v>Domus Glamping Guatapé</v>
      </c>
      <c r="G82" s="14">
        <v>45786</v>
      </c>
    </row>
    <row r="83" spans="1:7" hidden="1" x14ac:dyDescent="0.3">
      <c r="A83" t="str">
        <f t="shared" si="2"/>
        <v>EL PEÑOL, GUATAPÉ</v>
      </c>
      <c r="B83" t="str">
        <f t="shared" si="3"/>
        <v>Domus Glamping Guatapé</v>
      </c>
      <c r="G83" s="14">
        <v>45787</v>
      </c>
    </row>
    <row r="84" spans="1:7" hidden="1" x14ac:dyDescent="0.3">
      <c r="A84" t="str">
        <f t="shared" si="2"/>
        <v>EL PEÑOL, GUATAPÉ</v>
      </c>
      <c r="B84" t="str">
        <f t="shared" si="3"/>
        <v>Domus Glamping Guatapé</v>
      </c>
      <c r="G84" s="14">
        <v>45788</v>
      </c>
    </row>
    <row r="85" spans="1:7" hidden="1" x14ac:dyDescent="0.3">
      <c r="A85" t="str">
        <f t="shared" si="2"/>
        <v>EL PEÑOL, GUATAPÉ</v>
      </c>
      <c r="B85" t="str">
        <f t="shared" si="3"/>
        <v>Domus Glamping Guatapé</v>
      </c>
      <c r="G85" s="14">
        <v>45789</v>
      </c>
    </row>
    <row r="86" spans="1:7" hidden="1" x14ac:dyDescent="0.3">
      <c r="A86" t="s">
        <v>8</v>
      </c>
      <c r="B86" t="s">
        <v>10</v>
      </c>
      <c r="G86" s="14">
        <v>45748</v>
      </c>
    </row>
    <row r="87" spans="1:7" hidden="1" x14ac:dyDescent="0.3">
      <c r="A87" t="str">
        <f t="shared" ref="A87:A127" si="4">+A86</f>
        <v>EL PEÑOL, GUATAPÉ</v>
      </c>
      <c r="B87" t="str">
        <f t="shared" ref="B87:B127" si="5">+B86</f>
        <v>1714 Hotel Boutique Guatapé</v>
      </c>
      <c r="G87" s="14">
        <v>45749</v>
      </c>
    </row>
    <row r="88" spans="1:7" hidden="1" x14ac:dyDescent="0.3">
      <c r="A88" t="str">
        <f t="shared" si="4"/>
        <v>EL PEÑOL, GUATAPÉ</v>
      </c>
      <c r="B88" t="str">
        <f t="shared" si="5"/>
        <v>1714 Hotel Boutique Guatapé</v>
      </c>
      <c r="G88" s="14">
        <v>45750</v>
      </c>
    </row>
    <row r="89" spans="1:7" hidden="1" x14ac:dyDescent="0.3">
      <c r="A89" t="str">
        <f t="shared" si="4"/>
        <v>EL PEÑOL, GUATAPÉ</v>
      </c>
      <c r="B89" t="str">
        <f t="shared" si="5"/>
        <v>1714 Hotel Boutique Guatapé</v>
      </c>
      <c r="G89" s="14">
        <v>45751</v>
      </c>
    </row>
    <row r="90" spans="1:7" hidden="1" x14ac:dyDescent="0.3">
      <c r="A90" t="str">
        <f t="shared" si="4"/>
        <v>EL PEÑOL, GUATAPÉ</v>
      </c>
      <c r="B90" t="str">
        <f t="shared" si="5"/>
        <v>1714 Hotel Boutique Guatapé</v>
      </c>
      <c r="G90" s="14">
        <v>45752</v>
      </c>
    </row>
    <row r="91" spans="1:7" hidden="1" x14ac:dyDescent="0.3">
      <c r="A91" t="str">
        <f t="shared" si="4"/>
        <v>EL PEÑOL, GUATAPÉ</v>
      </c>
      <c r="B91" t="str">
        <f t="shared" si="5"/>
        <v>1714 Hotel Boutique Guatapé</v>
      </c>
      <c r="G91" s="14">
        <v>45753</v>
      </c>
    </row>
    <row r="92" spans="1:7" hidden="1" x14ac:dyDescent="0.3">
      <c r="A92" t="str">
        <f t="shared" si="4"/>
        <v>EL PEÑOL, GUATAPÉ</v>
      </c>
      <c r="B92" t="str">
        <f t="shared" si="5"/>
        <v>1714 Hotel Boutique Guatapé</v>
      </c>
      <c r="G92" s="14">
        <v>45754</v>
      </c>
    </row>
    <row r="93" spans="1:7" hidden="1" x14ac:dyDescent="0.3">
      <c r="A93" t="str">
        <f t="shared" si="4"/>
        <v>EL PEÑOL, GUATAPÉ</v>
      </c>
      <c r="B93" t="str">
        <f t="shared" si="5"/>
        <v>1714 Hotel Boutique Guatapé</v>
      </c>
      <c r="G93" s="14">
        <v>45755</v>
      </c>
    </row>
    <row r="94" spans="1:7" hidden="1" x14ac:dyDescent="0.3">
      <c r="A94" t="str">
        <f t="shared" si="4"/>
        <v>EL PEÑOL, GUATAPÉ</v>
      </c>
      <c r="B94" t="str">
        <f t="shared" si="5"/>
        <v>1714 Hotel Boutique Guatapé</v>
      </c>
      <c r="G94" s="14">
        <v>45756</v>
      </c>
    </row>
    <row r="95" spans="1:7" hidden="1" x14ac:dyDescent="0.3">
      <c r="A95" t="str">
        <f t="shared" si="4"/>
        <v>EL PEÑOL, GUATAPÉ</v>
      </c>
      <c r="B95" t="str">
        <f t="shared" si="5"/>
        <v>1714 Hotel Boutique Guatapé</v>
      </c>
      <c r="G95" s="14">
        <v>45757</v>
      </c>
    </row>
    <row r="96" spans="1:7" hidden="1" x14ac:dyDescent="0.3">
      <c r="A96" t="str">
        <f t="shared" si="4"/>
        <v>EL PEÑOL, GUATAPÉ</v>
      </c>
      <c r="B96" t="str">
        <f t="shared" si="5"/>
        <v>1714 Hotel Boutique Guatapé</v>
      </c>
      <c r="G96" s="14">
        <v>45758</v>
      </c>
    </row>
    <row r="97" spans="1:7" hidden="1" x14ac:dyDescent="0.3">
      <c r="A97" t="str">
        <f t="shared" si="4"/>
        <v>EL PEÑOL, GUATAPÉ</v>
      </c>
      <c r="B97" t="str">
        <f t="shared" si="5"/>
        <v>1714 Hotel Boutique Guatapé</v>
      </c>
      <c r="G97" s="14">
        <v>45759</v>
      </c>
    </row>
    <row r="98" spans="1:7" hidden="1" x14ac:dyDescent="0.3">
      <c r="A98" t="str">
        <f t="shared" si="4"/>
        <v>EL PEÑOL, GUATAPÉ</v>
      </c>
      <c r="B98" t="str">
        <f t="shared" si="5"/>
        <v>1714 Hotel Boutique Guatapé</v>
      </c>
      <c r="G98" s="14">
        <v>45760</v>
      </c>
    </row>
    <row r="99" spans="1:7" hidden="1" x14ac:dyDescent="0.3">
      <c r="A99" t="str">
        <f t="shared" si="4"/>
        <v>EL PEÑOL, GUATAPÉ</v>
      </c>
      <c r="B99" t="str">
        <f t="shared" si="5"/>
        <v>1714 Hotel Boutique Guatapé</v>
      </c>
      <c r="G99" s="14">
        <v>45761</v>
      </c>
    </row>
    <row r="100" spans="1:7" hidden="1" x14ac:dyDescent="0.3">
      <c r="A100" t="str">
        <f t="shared" si="4"/>
        <v>EL PEÑOL, GUATAPÉ</v>
      </c>
      <c r="B100" t="str">
        <f t="shared" si="5"/>
        <v>1714 Hotel Boutique Guatapé</v>
      </c>
      <c r="G100" s="14">
        <v>45762</v>
      </c>
    </row>
    <row r="101" spans="1:7" hidden="1" x14ac:dyDescent="0.3">
      <c r="A101" t="str">
        <f t="shared" si="4"/>
        <v>EL PEÑOL, GUATAPÉ</v>
      </c>
      <c r="B101" t="str">
        <f t="shared" si="5"/>
        <v>1714 Hotel Boutique Guatapé</v>
      </c>
      <c r="G101" s="14">
        <v>45763</v>
      </c>
    </row>
    <row r="102" spans="1:7" hidden="1" x14ac:dyDescent="0.3">
      <c r="A102" t="str">
        <f t="shared" si="4"/>
        <v>EL PEÑOL, GUATAPÉ</v>
      </c>
      <c r="B102" t="str">
        <f t="shared" si="5"/>
        <v>1714 Hotel Boutique Guatapé</v>
      </c>
      <c r="G102" s="14">
        <v>45764</v>
      </c>
    </row>
    <row r="103" spans="1:7" hidden="1" x14ac:dyDescent="0.3">
      <c r="A103" t="str">
        <f t="shared" si="4"/>
        <v>EL PEÑOL, GUATAPÉ</v>
      </c>
      <c r="B103" t="str">
        <f t="shared" si="5"/>
        <v>1714 Hotel Boutique Guatapé</v>
      </c>
      <c r="G103" s="14">
        <v>45765</v>
      </c>
    </row>
    <row r="104" spans="1:7" hidden="1" x14ac:dyDescent="0.3">
      <c r="A104" t="str">
        <f t="shared" si="4"/>
        <v>EL PEÑOL, GUATAPÉ</v>
      </c>
      <c r="B104" t="str">
        <f t="shared" si="5"/>
        <v>1714 Hotel Boutique Guatapé</v>
      </c>
      <c r="G104" s="14">
        <v>45766</v>
      </c>
    </row>
    <row r="105" spans="1:7" hidden="1" x14ac:dyDescent="0.3">
      <c r="A105" t="str">
        <f t="shared" si="4"/>
        <v>EL PEÑOL, GUATAPÉ</v>
      </c>
      <c r="B105" t="str">
        <f t="shared" si="5"/>
        <v>1714 Hotel Boutique Guatapé</v>
      </c>
      <c r="G105" s="14">
        <v>45767</v>
      </c>
    </row>
    <row r="106" spans="1:7" hidden="1" x14ac:dyDescent="0.3">
      <c r="A106" t="str">
        <f t="shared" si="4"/>
        <v>EL PEÑOL, GUATAPÉ</v>
      </c>
      <c r="B106" t="str">
        <f t="shared" si="5"/>
        <v>1714 Hotel Boutique Guatapé</v>
      </c>
      <c r="G106" s="14">
        <v>45768</v>
      </c>
    </row>
    <row r="107" spans="1:7" hidden="1" x14ac:dyDescent="0.3">
      <c r="A107" t="str">
        <f t="shared" si="4"/>
        <v>EL PEÑOL, GUATAPÉ</v>
      </c>
      <c r="B107" t="str">
        <f t="shared" si="5"/>
        <v>1714 Hotel Boutique Guatapé</v>
      </c>
      <c r="G107" s="14">
        <v>45769</v>
      </c>
    </row>
    <row r="108" spans="1:7" hidden="1" x14ac:dyDescent="0.3">
      <c r="A108" t="str">
        <f t="shared" si="4"/>
        <v>EL PEÑOL, GUATAPÉ</v>
      </c>
      <c r="B108" t="str">
        <f t="shared" si="5"/>
        <v>1714 Hotel Boutique Guatapé</v>
      </c>
      <c r="G108" s="14">
        <v>45770</v>
      </c>
    </row>
    <row r="109" spans="1:7" hidden="1" x14ac:dyDescent="0.3">
      <c r="A109" t="str">
        <f t="shared" si="4"/>
        <v>EL PEÑOL, GUATAPÉ</v>
      </c>
      <c r="B109" t="str">
        <f t="shared" si="5"/>
        <v>1714 Hotel Boutique Guatapé</v>
      </c>
      <c r="G109" s="14">
        <v>45771</v>
      </c>
    </row>
    <row r="110" spans="1:7" hidden="1" x14ac:dyDescent="0.3">
      <c r="A110" t="str">
        <f t="shared" si="4"/>
        <v>EL PEÑOL, GUATAPÉ</v>
      </c>
      <c r="B110" t="str">
        <f t="shared" si="5"/>
        <v>1714 Hotel Boutique Guatapé</v>
      </c>
      <c r="G110" s="14">
        <v>45772</v>
      </c>
    </row>
    <row r="111" spans="1:7" hidden="1" x14ac:dyDescent="0.3">
      <c r="A111" t="str">
        <f t="shared" si="4"/>
        <v>EL PEÑOL, GUATAPÉ</v>
      </c>
      <c r="B111" t="str">
        <f t="shared" si="5"/>
        <v>1714 Hotel Boutique Guatapé</v>
      </c>
      <c r="G111" s="14">
        <v>45773</v>
      </c>
    </row>
    <row r="112" spans="1:7" hidden="1" x14ac:dyDescent="0.3">
      <c r="A112" t="str">
        <f t="shared" si="4"/>
        <v>EL PEÑOL, GUATAPÉ</v>
      </c>
      <c r="B112" t="str">
        <f t="shared" si="5"/>
        <v>1714 Hotel Boutique Guatapé</v>
      </c>
      <c r="G112" s="14">
        <v>45774</v>
      </c>
    </row>
    <row r="113" spans="1:7" hidden="1" x14ac:dyDescent="0.3">
      <c r="A113" t="str">
        <f t="shared" si="4"/>
        <v>EL PEÑOL, GUATAPÉ</v>
      </c>
      <c r="B113" t="str">
        <f t="shared" si="5"/>
        <v>1714 Hotel Boutique Guatapé</v>
      </c>
      <c r="G113" s="14">
        <v>45775</v>
      </c>
    </row>
    <row r="114" spans="1:7" hidden="1" x14ac:dyDescent="0.3">
      <c r="A114" t="str">
        <f t="shared" si="4"/>
        <v>EL PEÑOL, GUATAPÉ</v>
      </c>
      <c r="B114" t="str">
        <f t="shared" si="5"/>
        <v>1714 Hotel Boutique Guatapé</v>
      </c>
      <c r="G114" s="14">
        <v>45776</v>
      </c>
    </row>
    <row r="115" spans="1:7" hidden="1" x14ac:dyDescent="0.3">
      <c r="A115" t="str">
        <f t="shared" si="4"/>
        <v>EL PEÑOL, GUATAPÉ</v>
      </c>
      <c r="B115" t="str">
        <f t="shared" si="5"/>
        <v>1714 Hotel Boutique Guatapé</v>
      </c>
      <c r="G115" s="14">
        <v>45777</v>
      </c>
    </row>
    <row r="116" spans="1:7" hidden="1" x14ac:dyDescent="0.3">
      <c r="A116" t="str">
        <f t="shared" si="4"/>
        <v>EL PEÑOL, GUATAPÉ</v>
      </c>
      <c r="B116" t="str">
        <f t="shared" si="5"/>
        <v>1714 Hotel Boutique Guatapé</v>
      </c>
      <c r="G116" s="14">
        <v>45778</v>
      </c>
    </row>
    <row r="117" spans="1:7" hidden="1" x14ac:dyDescent="0.3">
      <c r="A117" t="str">
        <f t="shared" si="4"/>
        <v>EL PEÑOL, GUATAPÉ</v>
      </c>
      <c r="B117" t="str">
        <f t="shared" si="5"/>
        <v>1714 Hotel Boutique Guatapé</v>
      </c>
      <c r="G117" s="14">
        <v>45779</v>
      </c>
    </row>
    <row r="118" spans="1:7" hidden="1" x14ac:dyDescent="0.3">
      <c r="A118" t="str">
        <f t="shared" si="4"/>
        <v>EL PEÑOL, GUATAPÉ</v>
      </c>
      <c r="B118" t="str">
        <f t="shared" si="5"/>
        <v>1714 Hotel Boutique Guatapé</v>
      </c>
      <c r="G118" s="14">
        <v>45780</v>
      </c>
    </row>
    <row r="119" spans="1:7" hidden="1" x14ac:dyDescent="0.3">
      <c r="A119" t="str">
        <f t="shared" si="4"/>
        <v>EL PEÑOL, GUATAPÉ</v>
      </c>
      <c r="B119" t="str">
        <f t="shared" si="5"/>
        <v>1714 Hotel Boutique Guatapé</v>
      </c>
      <c r="G119" s="14">
        <v>45781</v>
      </c>
    </row>
    <row r="120" spans="1:7" hidden="1" x14ac:dyDescent="0.3">
      <c r="A120" t="str">
        <f t="shared" si="4"/>
        <v>EL PEÑOL, GUATAPÉ</v>
      </c>
      <c r="B120" t="str">
        <f t="shared" si="5"/>
        <v>1714 Hotel Boutique Guatapé</v>
      </c>
      <c r="G120" s="14">
        <v>45782</v>
      </c>
    </row>
    <row r="121" spans="1:7" hidden="1" x14ac:dyDescent="0.3">
      <c r="A121" t="str">
        <f t="shared" si="4"/>
        <v>EL PEÑOL, GUATAPÉ</v>
      </c>
      <c r="B121" t="str">
        <f t="shared" si="5"/>
        <v>1714 Hotel Boutique Guatapé</v>
      </c>
      <c r="G121" s="14">
        <v>45783</v>
      </c>
    </row>
    <row r="122" spans="1:7" hidden="1" x14ac:dyDescent="0.3">
      <c r="A122" t="str">
        <f t="shared" si="4"/>
        <v>EL PEÑOL, GUATAPÉ</v>
      </c>
      <c r="B122" t="str">
        <f t="shared" si="5"/>
        <v>1714 Hotel Boutique Guatapé</v>
      </c>
      <c r="G122" s="14">
        <v>45784</v>
      </c>
    </row>
    <row r="123" spans="1:7" hidden="1" x14ac:dyDescent="0.3">
      <c r="A123" t="str">
        <f t="shared" si="4"/>
        <v>EL PEÑOL, GUATAPÉ</v>
      </c>
      <c r="B123" t="str">
        <f t="shared" si="5"/>
        <v>1714 Hotel Boutique Guatapé</v>
      </c>
      <c r="G123" s="14">
        <v>45785</v>
      </c>
    </row>
    <row r="124" spans="1:7" hidden="1" x14ac:dyDescent="0.3">
      <c r="A124" t="str">
        <f t="shared" si="4"/>
        <v>EL PEÑOL, GUATAPÉ</v>
      </c>
      <c r="B124" t="str">
        <f t="shared" si="5"/>
        <v>1714 Hotel Boutique Guatapé</v>
      </c>
      <c r="G124" s="14">
        <v>45786</v>
      </c>
    </row>
    <row r="125" spans="1:7" hidden="1" x14ac:dyDescent="0.3">
      <c r="A125" t="str">
        <f t="shared" si="4"/>
        <v>EL PEÑOL, GUATAPÉ</v>
      </c>
      <c r="B125" t="str">
        <f t="shared" si="5"/>
        <v>1714 Hotel Boutique Guatapé</v>
      </c>
      <c r="G125" s="14">
        <v>45787</v>
      </c>
    </row>
    <row r="126" spans="1:7" hidden="1" x14ac:dyDescent="0.3">
      <c r="A126" t="str">
        <f t="shared" si="4"/>
        <v>EL PEÑOL, GUATAPÉ</v>
      </c>
      <c r="B126" t="str">
        <f t="shared" si="5"/>
        <v>1714 Hotel Boutique Guatapé</v>
      </c>
      <c r="G126" s="14">
        <v>45788</v>
      </c>
    </row>
    <row r="127" spans="1:7" hidden="1" x14ac:dyDescent="0.3">
      <c r="A127" t="str">
        <f t="shared" si="4"/>
        <v>EL PEÑOL, GUATAPÉ</v>
      </c>
      <c r="B127" t="str">
        <f t="shared" si="5"/>
        <v>1714 Hotel Boutique Guatapé</v>
      </c>
      <c r="G127" s="14">
        <v>45789</v>
      </c>
    </row>
    <row r="128" spans="1:7" hidden="1" x14ac:dyDescent="0.3">
      <c r="A128" t="s">
        <v>7</v>
      </c>
      <c r="B128" t="s">
        <v>11</v>
      </c>
      <c r="C128" s="35">
        <v>10</v>
      </c>
      <c r="D128">
        <v>2</v>
      </c>
      <c r="E128" s="15">
        <v>106101</v>
      </c>
      <c r="F128" s="15">
        <v>212202</v>
      </c>
      <c r="G128" s="14">
        <v>45748</v>
      </c>
    </row>
    <row r="129" spans="1:7" hidden="1" x14ac:dyDescent="0.3">
      <c r="A129" t="str">
        <f t="shared" ref="A129:A188" si="6">+A128</f>
        <v>GUATAPÉ</v>
      </c>
      <c r="B129" t="str">
        <f t="shared" ref="B129:B188" si="7">+B128</f>
        <v>Hotel Spa Bliss Guatape</v>
      </c>
      <c r="C129" s="35">
        <v>10</v>
      </c>
      <c r="D129">
        <v>1</v>
      </c>
      <c r="E129" s="15">
        <v>97498</v>
      </c>
      <c r="F129" s="15">
        <v>97498</v>
      </c>
      <c r="G129" s="14">
        <v>45749</v>
      </c>
    </row>
    <row r="130" spans="1:7" hidden="1" x14ac:dyDescent="0.3">
      <c r="A130" t="str">
        <f t="shared" si="6"/>
        <v>GUATAPÉ</v>
      </c>
      <c r="B130" t="str">
        <f t="shared" si="7"/>
        <v>Hotel Spa Bliss Guatape</v>
      </c>
      <c r="C130" s="35">
        <v>10</v>
      </c>
      <c r="D130">
        <v>2</v>
      </c>
      <c r="E130" s="15">
        <v>97816.5</v>
      </c>
      <c r="F130" s="15">
        <v>195633</v>
      </c>
      <c r="G130" s="14">
        <v>45750</v>
      </c>
    </row>
    <row r="131" spans="1:7" hidden="1" x14ac:dyDescent="0.3">
      <c r="A131" t="str">
        <f t="shared" si="6"/>
        <v>GUATAPÉ</v>
      </c>
      <c r="B131" t="str">
        <f t="shared" si="7"/>
        <v>Hotel Spa Bliss Guatape</v>
      </c>
      <c r="C131" s="35">
        <v>10</v>
      </c>
      <c r="D131">
        <v>1</v>
      </c>
      <c r="E131" s="15">
        <v>115927</v>
      </c>
      <c r="F131" s="15">
        <v>115927</v>
      </c>
      <c r="G131" s="14">
        <v>45751</v>
      </c>
    </row>
    <row r="132" spans="1:7" hidden="1" x14ac:dyDescent="0.3">
      <c r="A132" t="str">
        <f t="shared" si="6"/>
        <v>GUATAPÉ</v>
      </c>
      <c r="B132" t="str">
        <f t="shared" si="7"/>
        <v>Hotel Spa Bliss Guatape</v>
      </c>
      <c r="C132" s="35">
        <v>10</v>
      </c>
      <c r="D132">
        <v>2</v>
      </c>
      <c r="E132" s="15">
        <v>143027.5</v>
      </c>
      <c r="F132" s="15">
        <v>286055</v>
      </c>
      <c r="G132" s="14">
        <v>45752</v>
      </c>
    </row>
    <row r="133" spans="1:7" hidden="1" x14ac:dyDescent="0.3">
      <c r="A133" t="str">
        <f t="shared" si="6"/>
        <v>GUATAPÉ</v>
      </c>
      <c r="B133" t="str">
        <f t="shared" si="7"/>
        <v>Hotel Spa Bliss Guatape</v>
      </c>
      <c r="C133" s="35">
        <v>10</v>
      </c>
      <c r="D133">
        <v>2</v>
      </c>
      <c r="E133" s="15">
        <v>123749.5</v>
      </c>
      <c r="F133" s="15">
        <v>247499</v>
      </c>
      <c r="G133" s="14">
        <v>45753</v>
      </c>
    </row>
    <row r="134" spans="1:7" hidden="1" x14ac:dyDescent="0.3">
      <c r="A134" t="str">
        <f t="shared" si="6"/>
        <v>GUATAPÉ</v>
      </c>
      <c r="B134" t="str">
        <f t="shared" si="7"/>
        <v>Hotel Spa Bliss Guatape</v>
      </c>
      <c r="C134" s="35">
        <v>10</v>
      </c>
      <c r="D134">
        <v>3</v>
      </c>
      <c r="E134" s="15">
        <v>117135.67</v>
      </c>
      <c r="F134" s="15">
        <v>351407</v>
      </c>
      <c r="G134" s="14">
        <v>45754</v>
      </c>
    </row>
    <row r="135" spans="1:7" hidden="1" x14ac:dyDescent="0.3">
      <c r="A135" t="str">
        <f t="shared" si="6"/>
        <v>GUATAPÉ</v>
      </c>
      <c r="B135" t="str">
        <f t="shared" si="7"/>
        <v>Hotel Spa Bliss Guatape</v>
      </c>
      <c r="C135" s="35">
        <v>10</v>
      </c>
      <c r="D135">
        <v>5</v>
      </c>
      <c r="E135" s="15">
        <v>118137</v>
      </c>
      <c r="F135" s="15">
        <v>590685</v>
      </c>
      <c r="G135" s="14">
        <v>45755</v>
      </c>
    </row>
    <row r="136" spans="1:7" hidden="1" x14ac:dyDescent="0.3">
      <c r="A136" t="str">
        <f t="shared" si="6"/>
        <v>GUATAPÉ</v>
      </c>
      <c r="B136" t="str">
        <f t="shared" si="7"/>
        <v>Hotel Spa Bliss Guatape</v>
      </c>
      <c r="C136" s="35">
        <v>10</v>
      </c>
      <c r="D136">
        <v>5</v>
      </c>
      <c r="E136" s="15">
        <v>118137</v>
      </c>
      <c r="F136" s="15">
        <v>590685</v>
      </c>
      <c r="G136" s="14">
        <v>45756</v>
      </c>
    </row>
    <row r="137" spans="1:7" hidden="1" x14ac:dyDescent="0.3">
      <c r="A137" t="str">
        <f t="shared" si="6"/>
        <v>GUATAPÉ</v>
      </c>
      <c r="B137" t="str">
        <f t="shared" si="7"/>
        <v>Hotel Spa Bliss Guatape</v>
      </c>
      <c r="C137" s="35">
        <v>10</v>
      </c>
      <c r="D137">
        <v>4</v>
      </c>
      <c r="E137" s="15">
        <v>126475</v>
      </c>
      <c r="F137" s="15">
        <v>505900</v>
      </c>
      <c r="G137" s="14">
        <v>45757</v>
      </c>
    </row>
    <row r="138" spans="1:7" hidden="1" x14ac:dyDescent="0.3">
      <c r="A138" t="str">
        <f t="shared" si="6"/>
        <v>GUATAPÉ</v>
      </c>
      <c r="B138" t="str">
        <f t="shared" si="7"/>
        <v>Hotel Spa Bliss Guatape</v>
      </c>
      <c r="C138" s="35">
        <v>10</v>
      </c>
      <c r="D138">
        <v>3</v>
      </c>
      <c r="E138" s="15">
        <v>158174.67000000001</v>
      </c>
      <c r="F138" s="15">
        <v>474524</v>
      </c>
      <c r="G138" s="14">
        <v>45758</v>
      </c>
    </row>
    <row r="139" spans="1:7" hidden="1" x14ac:dyDescent="0.3">
      <c r="A139" t="str">
        <f t="shared" si="6"/>
        <v>GUATAPÉ</v>
      </c>
      <c r="B139" t="str">
        <f t="shared" si="7"/>
        <v>Hotel Spa Bliss Guatape</v>
      </c>
      <c r="C139" s="35">
        <v>10</v>
      </c>
      <c r="D139">
        <v>4</v>
      </c>
      <c r="E139" s="15">
        <v>160131</v>
      </c>
      <c r="F139" s="15">
        <v>640524</v>
      </c>
      <c r="G139" s="14">
        <v>45759</v>
      </c>
    </row>
    <row r="140" spans="1:7" hidden="1" x14ac:dyDescent="0.3">
      <c r="A140" t="str">
        <f t="shared" si="6"/>
        <v>GUATAPÉ</v>
      </c>
      <c r="B140" t="str">
        <f t="shared" si="7"/>
        <v>Hotel Spa Bliss Guatape</v>
      </c>
      <c r="C140" s="35">
        <v>10</v>
      </c>
      <c r="D140">
        <v>2</v>
      </c>
      <c r="E140" s="15">
        <v>143822.5</v>
      </c>
      <c r="F140" s="15">
        <v>287645</v>
      </c>
      <c r="G140" s="14">
        <v>45760</v>
      </c>
    </row>
    <row r="141" spans="1:7" hidden="1" x14ac:dyDescent="0.3">
      <c r="A141" t="str">
        <f t="shared" si="6"/>
        <v>GUATAPÉ</v>
      </c>
      <c r="B141" t="str">
        <f t="shared" si="7"/>
        <v>Hotel Spa Bliss Guatape</v>
      </c>
      <c r="C141" s="35">
        <v>10</v>
      </c>
      <c r="D141">
        <v>2</v>
      </c>
      <c r="E141" s="15">
        <v>143822.5</v>
      </c>
      <c r="F141" s="15">
        <v>287645</v>
      </c>
      <c r="G141" s="14">
        <v>45761</v>
      </c>
    </row>
    <row r="142" spans="1:7" hidden="1" x14ac:dyDescent="0.3">
      <c r="A142" t="str">
        <f t="shared" si="6"/>
        <v>GUATAPÉ</v>
      </c>
      <c r="B142" t="str">
        <f t="shared" si="7"/>
        <v>Hotel Spa Bliss Guatape</v>
      </c>
      <c r="C142" s="35">
        <v>10</v>
      </c>
      <c r="D142">
        <v>5</v>
      </c>
      <c r="E142" s="15">
        <v>143728.4</v>
      </c>
      <c r="F142" s="15">
        <v>718642</v>
      </c>
      <c r="G142" s="14">
        <v>45762</v>
      </c>
    </row>
    <row r="143" spans="1:7" hidden="1" x14ac:dyDescent="0.3">
      <c r="A143" t="str">
        <f t="shared" si="6"/>
        <v>GUATAPÉ</v>
      </c>
      <c r="B143" t="str">
        <f t="shared" si="7"/>
        <v>Hotel Spa Bliss Guatape</v>
      </c>
      <c r="C143" s="35">
        <v>10</v>
      </c>
      <c r="D143">
        <v>7</v>
      </c>
      <c r="E143" s="15">
        <v>157315.43</v>
      </c>
      <c r="F143" s="15">
        <v>1101208</v>
      </c>
      <c r="G143" s="14">
        <v>45763</v>
      </c>
    </row>
    <row r="144" spans="1:7" hidden="1" x14ac:dyDescent="0.3">
      <c r="A144" t="str">
        <f t="shared" si="6"/>
        <v>GUATAPÉ</v>
      </c>
      <c r="B144" t="str">
        <f t="shared" si="7"/>
        <v>Hotel Spa Bliss Guatape</v>
      </c>
      <c r="C144" s="35">
        <v>10</v>
      </c>
      <c r="D144">
        <v>9</v>
      </c>
      <c r="E144" s="15">
        <v>162868.32999999999</v>
      </c>
      <c r="F144" s="15">
        <v>1465815</v>
      </c>
      <c r="G144" s="14">
        <v>45764</v>
      </c>
    </row>
    <row r="145" spans="1:7" hidden="1" x14ac:dyDescent="0.3">
      <c r="A145" t="str">
        <f t="shared" si="6"/>
        <v>GUATAPÉ</v>
      </c>
      <c r="B145" t="str">
        <f t="shared" si="7"/>
        <v>Hotel Spa Bliss Guatape</v>
      </c>
      <c r="C145" s="35">
        <v>10</v>
      </c>
      <c r="D145">
        <v>10</v>
      </c>
      <c r="E145" s="15">
        <v>188293.6</v>
      </c>
      <c r="F145" s="15">
        <v>1882936</v>
      </c>
      <c r="G145" s="14">
        <v>45765</v>
      </c>
    </row>
    <row r="146" spans="1:7" hidden="1" x14ac:dyDescent="0.3">
      <c r="A146" t="str">
        <f t="shared" si="6"/>
        <v>GUATAPÉ</v>
      </c>
      <c r="B146" t="str">
        <f t="shared" si="7"/>
        <v>Hotel Spa Bliss Guatape</v>
      </c>
      <c r="C146" s="35">
        <v>10</v>
      </c>
      <c r="D146">
        <v>2</v>
      </c>
      <c r="E146" s="15">
        <v>151842</v>
      </c>
      <c r="F146" s="15">
        <v>303684</v>
      </c>
      <c r="G146" s="14">
        <v>45766</v>
      </c>
    </row>
    <row r="147" spans="1:7" hidden="1" x14ac:dyDescent="0.3">
      <c r="A147" t="str">
        <f t="shared" si="6"/>
        <v>GUATAPÉ</v>
      </c>
      <c r="B147" t="str">
        <f t="shared" si="7"/>
        <v>Hotel Spa Bliss Guatape</v>
      </c>
      <c r="C147" s="35">
        <v>10</v>
      </c>
      <c r="D147">
        <v>0</v>
      </c>
      <c r="E147" s="15">
        <v>0</v>
      </c>
      <c r="F147" s="15">
        <v>0</v>
      </c>
      <c r="G147" s="14">
        <v>45767</v>
      </c>
    </row>
    <row r="148" spans="1:7" hidden="1" x14ac:dyDescent="0.3">
      <c r="A148" t="str">
        <f t="shared" si="6"/>
        <v>GUATAPÉ</v>
      </c>
      <c r="B148" t="str">
        <f t="shared" si="7"/>
        <v>Hotel Spa Bliss Guatape</v>
      </c>
      <c r="C148" s="35">
        <v>10</v>
      </c>
      <c r="D148">
        <v>5</v>
      </c>
      <c r="E148" s="15">
        <v>121892.2</v>
      </c>
      <c r="F148" s="15">
        <v>609461</v>
      </c>
      <c r="G148" s="14">
        <v>45768</v>
      </c>
    </row>
    <row r="149" spans="1:7" hidden="1" x14ac:dyDescent="0.3">
      <c r="A149" t="str">
        <f t="shared" si="6"/>
        <v>GUATAPÉ</v>
      </c>
      <c r="B149" t="str">
        <f t="shared" si="7"/>
        <v>Hotel Spa Bliss Guatape</v>
      </c>
      <c r="C149" s="35">
        <v>10</v>
      </c>
      <c r="D149">
        <v>3</v>
      </c>
      <c r="E149" s="15">
        <v>117665.33</v>
      </c>
      <c r="F149" s="15">
        <v>352996</v>
      </c>
      <c r="G149" s="14">
        <v>45769</v>
      </c>
    </row>
    <row r="150" spans="1:7" hidden="1" x14ac:dyDescent="0.3">
      <c r="A150" t="str">
        <f t="shared" si="6"/>
        <v>GUATAPÉ</v>
      </c>
      <c r="B150" t="str">
        <f t="shared" si="7"/>
        <v>Hotel Spa Bliss Guatape</v>
      </c>
      <c r="C150" s="35">
        <v>10</v>
      </c>
      <c r="D150">
        <v>4</v>
      </c>
      <c r="E150" s="15">
        <v>123169.5</v>
      </c>
      <c r="F150" s="15">
        <v>492678</v>
      </c>
      <c r="G150" s="14">
        <v>45770</v>
      </c>
    </row>
    <row r="151" spans="1:7" hidden="1" x14ac:dyDescent="0.3">
      <c r="A151" t="str">
        <f t="shared" si="6"/>
        <v>GUATAPÉ</v>
      </c>
      <c r="B151" t="str">
        <f t="shared" si="7"/>
        <v>Hotel Spa Bliss Guatape</v>
      </c>
      <c r="C151" s="35">
        <v>10</v>
      </c>
      <c r="D151">
        <v>3</v>
      </c>
      <c r="E151" s="15">
        <v>120892.67</v>
      </c>
      <c r="F151" s="15">
        <v>362678</v>
      </c>
      <c r="G151" s="14">
        <v>45771</v>
      </c>
    </row>
    <row r="152" spans="1:7" hidden="1" x14ac:dyDescent="0.3">
      <c r="A152" t="str">
        <f t="shared" si="6"/>
        <v>GUATAPÉ</v>
      </c>
      <c r="B152" t="str">
        <f t="shared" si="7"/>
        <v>Hotel Spa Bliss Guatape</v>
      </c>
      <c r="C152" s="35">
        <v>10</v>
      </c>
      <c r="D152">
        <v>0</v>
      </c>
      <c r="E152" s="15">
        <v>0</v>
      </c>
      <c r="F152" s="15">
        <v>0</v>
      </c>
      <c r="G152" s="14">
        <v>45772</v>
      </c>
    </row>
    <row r="153" spans="1:7" hidden="1" x14ac:dyDescent="0.3">
      <c r="A153" t="str">
        <f t="shared" si="6"/>
        <v>GUATAPÉ</v>
      </c>
      <c r="B153" t="str">
        <f t="shared" si="7"/>
        <v>Hotel Spa Bliss Guatape</v>
      </c>
      <c r="C153" s="35">
        <v>10</v>
      </c>
      <c r="D153">
        <v>1</v>
      </c>
      <c r="E153" s="15">
        <v>145000</v>
      </c>
      <c r="F153" s="15">
        <v>145000</v>
      </c>
      <c r="G153" s="14">
        <v>45773</v>
      </c>
    </row>
    <row r="154" spans="1:7" hidden="1" x14ac:dyDescent="0.3">
      <c r="A154" t="str">
        <f t="shared" si="6"/>
        <v>GUATAPÉ</v>
      </c>
      <c r="B154" t="str">
        <f t="shared" si="7"/>
        <v>Hotel Spa Bliss Guatape</v>
      </c>
      <c r="C154" s="35">
        <v>10</v>
      </c>
      <c r="D154">
        <v>2</v>
      </c>
      <c r="E154" s="15">
        <v>125000</v>
      </c>
      <c r="F154" s="15">
        <v>250000</v>
      </c>
      <c r="G154" s="14">
        <v>45774</v>
      </c>
    </row>
    <row r="155" spans="1:7" hidden="1" x14ac:dyDescent="0.3">
      <c r="A155" t="str">
        <f t="shared" si="6"/>
        <v>GUATAPÉ</v>
      </c>
      <c r="B155" t="str">
        <f t="shared" si="7"/>
        <v>Hotel Spa Bliss Guatape</v>
      </c>
      <c r="C155" s="35">
        <v>10</v>
      </c>
      <c r="D155">
        <v>2</v>
      </c>
      <c r="E155" s="15">
        <v>109250</v>
      </c>
      <c r="F155" s="15">
        <v>218500</v>
      </c>
      <c r="G155" s="14">
        <v>45775</v>
      </c>
    </row>
    <row r="156" spans="1:7" hidden="1" x14ac:dyDescent="0.3">
      <c r="A156" t="str">
        <f t="shared" si="6"/>
        <v>GUATAPÉ</v>
      </c>
      <c r="B156" t="str">
        <f t="shared" si="7"/>
        <v>Hotel Spa Bliss Guatape</v>
      </c>
      <c r="C156" s="35">
        <v>10</v>
      </c>
      <c r="D156">
        <v>1</v>
      </c>
      <c r="E156" s="15">
        <v>108500</v>
      </c>
      <c r="F156" s="15">
        <v>108500</v>
      </c>
      <c r="G156" s="14">
        <v>45776</v>
      </c>
    </row>
    <row r="157" spans="1:7" hidden="1" x14ac:dyDescent="0.3">
      <c r="A157" t="str">
        <f t="shared" si="6"/>
        <v>GUATAPÉ</v>
      </c>
      <c r="B157" t="str">
        <f t="shared" si="7"/>
        <v>Hotel Spa Bliss Guatape</v>
      </c>
      <c r="C157" s="35">
        <v>10</v>
      </c>
      <c r="D157">
        <v>0</v>
      </c>
      <c r="E157" s="15">
        <v>0</v>
      </c>
      <c r="F157" s="15">
        <v>0</v>
      </c>
      <c r="G157" s="14">
        <v>45777</v>
      </c>
    </row>
    <row r="158" spans="1:7" hidden="1" x14ac:dyDescent="0.3">
      <c r="A158" t="str">
        <f t="shared" si="6"/>
        <v>GUATAPÉ</v>
      </c>
      <c r="B158" t="str">
        <f t="shared" si="7"/>
        <v>Hotel Spa Bliss Guatape</v>
      </c>
      <c r="C158" s="35">
        <v>10</v>
      </c>
      <c r="G158" s="14">
        <v>45778</v>
      </c>
    </row>
    <row r="159" spans="1:7" hidden="1" x14ac:dyDescent="0.3">
      <c r="A159" t="str">
        <f t="shared" si="6"/>
        <v>GUATAPÉ</v>
      </c>
      <c r="B159" t="str">
        <f t="shared" si="7"/>
        <v>Hotel Spa Bliss Guatape</v>
      </c>
      <c r="C159" s="35">
        <v>10</v>
      </c>
      <c r="G159" s="14">
        <v>45779</v>
      </c>
    </row>
    <row r="160" spans="1:7" hidden="1" x14ac:dyDescent="0.3">
      <c r="A160" t="str">
        <f t="shared" si="6"/>
        <v>GUATAPÉ</v>
      </c>
      <c r="B160" t="str">
        <f t="shared" si="7"/>
        <v>Hotel Spa Bliss Guatape</v>
      </c>
      <c r="C160" s="35">
        <v>10</v>
      </c>
      <c r="G160" s="14">
        <v>45780</v>
      </c>
    </row>
    <row r="161" spans="1:7" hidden="1" x14ac:dyDescent="0.3">
      <c r="A161" t="str">
        <f t="shared" si="6"/>
        <v>GUATAPÉ</v>
      </c>
      <c r="B161" t="str">
        <f t="shared" ref="B161:B179" si="8">+B156</f>
        <v>Hotel Spa Bliss Guatape</v>
      </c>
      <c r="C161" s="35">
        <v>10</v>
      </c>
      <c r="G161" s="14">
        <v>45781</v>
      </c>
    </row>
    <row r="162" spans="1:7" hidden="1" x14ac:dyDescent="0.3">
      <c r="A162" t="str">
        <f t="shared" si="6"/>
        <v>GUATAPÉ</v>
      </c>
      <c r="B162" t="str">
        <f t="shared" si="8"/>
        <v>Hotel Spa Bliss Guatape</v>
      </c>
      <c r="C162" s="35">
        <v>10</v>
      </c>
      <c r="G162" s="14">
        <v>45782</v>
      </c>
    </row>
    <row r="163" spans="1:7" hidden="1" x14ac:dyDescent="0.3">
      <c r="A163" t="str">
        <f t="shared" si="6"/>
        <v>GUATAPÉ</v>
      </c>
      <c r="B163" t="str">
        <f t="shared" si="8"/>
        <v>Hotel Spa Bliss Guatape</v>
      </c>
      <c r="C163" s="35">
        <v>10</v>
      </c>
      <c r="G163" s="14">
        <v>45783</v>
      </c>
    </row>
    <row r="164" spans="1:7" hidden="1" x14ac:dyDescent="0.3">
      <c r="A164" t="str">
        <f t="shared" si="6"/>
        <v>GUATAPÉ</v>
      </c>
      <c r="B164" t="str">
        <f t="shared" si="8"/>
        <v>Hotel Spa Bliss Guatape</v>
      </c>
      <c r="C164" s="35">
        <v>10</v>
      </c>
      <c r="G164" s="14">
        <v>45784</v>
      </c>
    </row>
    <row r="165" spans="1:7" hidden="1" x14ac:dyDescent="0.3">
      <c r="A165" t="str">
        <f t="shared" si="6"/>
        <v>GUATAPÉ</v>
      </c>
      <c r="B165" t="str">
        <f t="shared" si="8"/>
        <v>Hotel Spa Bliss Guatape</v>
      </c>
      <c r="C165" s="35">
        <v>10</v>
      </c>
      <c r="G165" s="14">
        <v>45785</v>
      </c>
    </row>
    <row r="166" spans="1:7" hidden="1" x14ac:dyDescent="0.3">
      <c r="A166" t="str">
        <f t="shared" si="6"/>
        <v>GUATAPÉ</v>
      </c>
      <c r="B166" t="str">
        <f t="shared" si="8"/>
        <v>Hotel Spa Bliss Guatape</v>
      </c>
      <c r="C166" s="35">
        <v>10</v>
      </c>
      <c r="G166" s="14">
        <v>45786</v>
      </c>
    </row>
    <row r="167" spans="1:7" hidden="1" x14ac:dyDescent="0.3">
      <c r="A167" t="str">
        <f t="shared" si="6"/>
        <v>GUATAPÉ</v>
      </c>
      <c r="B167" t="str">
        <f t="shared" si="8"/>
        <v>Hotel Spa Bliss Guatape</v>
      </c>
      <c r="C167" s="35">
        <v>10</v>
      </c>
      <c r="G167" s="14">
        <v>45787</v>
      </c>
    </row>
    <row r="168" spans="1:7" hidden="1" x14ac:dyDescent="0.3">
      <c r="A168" t="str">
        <f t="shared" si="6"/>
        <v>GUATAPÉ</v>
      </c>
      <c r="B168" t="str">
        <f t="shared" si="8"/>
        <v>Hotel Spa Bliss Guatape</v>
      </c>
      <c r="C168" s="35">
        <v>10</v>
      </c>
      <c r="G168" s="14">
        <v>45788</v>
      </c>
    </row>
    <row r="169" spans="1:7" hidden="1" x14ac:dyDescent="0.3">
      <c r="A169" t="str">
        <f t="shared" si="6"/>
        <v>GUATAPÉ</v>
      </c>
      <c r="B169" t="str">
        <f t="shared" si="8"/>
        <v>Hotel Spa Bliss Guatape</v>
      </c>
      <c r="C169" s="35">
        <v>10</v>
      </c>
      <c r="G169" s="14">
        <v>45789</v>
      </c>
    </row>
    <row r="170" spans="1:7" hidden="1" x14ac:dyDescent="0.3">
      <c r="A170" t="str">
        <f t="shared" si="6"/>
        <v>GUATAPÉ</v>
      </c>
      <c r="B170" t="str">
        <f t="shared" si="8"/>
        <v>Hotel Spa Bliss Guatape</v>
      </c>
      <c r="C170" s="35">
        <v>10</v>
      </c>
      <c r="G170" s="14">
        <v>45790</v>
      </c>
    </row>
    <row r="171" spans="1:7" hidden="1" x14ac:dyDescent="0.3">
      <c r="A171" t="str">
        <f t="shared" si="6"/>
        <v>GUATAPÉ</v>
      </c>
      <c r="B171" t="str">
        <f t="shared" si="8"/>
        <v>Hotel Spa Bliss Guatape</v>
      </c>
      <c r="C171" s="35">
        <v>10</v>
      </c>
      <c r="G171" s="14">
        <v>45791</v>
      </c>
    </row>
    <row r="172" spans="1:7" hidden="1" x14ac:dyDescent="0.3">
      <c r="A172" t="str">
        <f t="shared" si="6"/>
        <v>GUATAPÉ</v>
      </c>
      <c r="B172" t="str">
        <f t="shared" si="8"/>
        <v>Hotel Spa Bliss Guatape</v>
      </c>
      <c r="C172" s="35">
        <v>10</v>
      </c>
      <c r="G172" s="14">
        <v>45792</v>
      </c>
    </row>
    <row r="173" spans="1:7" hidden="1" x14ac:dyDescent="0.3">
      <c r="A173" t="str">
        <f t="shared" si="6"/>
        <v>GUATAPÉ</v>
      </c>
      <c r="B173" t="str">
        <f t="shared" si="8"/>
        <v>Hotel Spa Bliss Guatape</v>
      </c>
      <c r="C173" s="35">
        <v>10</v>
      </c>
      <c r="G173" s="14">
        <v>45793</v>
      </c>
    </row>
    <row r="174" spans="1:7" hidden="1" x14ac:dyDescent="0.3">
      <c r="A174" t="str">
        <f t="shared" si="6"/>
        <v>GUATAPÉ</v>
      </c>
      <c r="B174" t="str">
        <f t="shared" si="8"/>
        <v>Hotel Spa Bliss Guatape</v>
      </c>
      <c r="C174" s="35">
        <v>10</v>
      </c>
      <c r="G174" s="14">
        <v>45794</v>
      </c>
    </row>
    <row r="175" spans="1:7" hidden="1" x14ac:dyDescent="0.3">
      <c r="A175" t="str">
        <f t="shared" si="6"/>
        <v>GUATAPÉ</v>
      </c>
      <c r="B175" t="str">
        <f t="shared" si="8"/>
        <v>Hotel Spa Bliss Guatape</v>
      </c>
      <c r="C175" s="35">
        <v>10</v>
      </c>
      <c r="G175" s="14">
        <v>45795</v>
      </c>
    </row>
    <row r="176" spans="1:7" hidden="1" x14ac:dyDescent="0.3">
      <c r="A176" t="str">
        <f t="shared" si="6"/>
        <v>GUATAPÉ</v>
      </c>
      <c r="B176" t="str">
        <f t="shared" si="8"/>
        <v>Hotel Spa Bliss Guatape</v>
      </c>
      <c r="C176" s="35">
        <v>10</v>
      </c>
      <c r="G176" s="14">
        <v>45796</v>
      </c>
    </row>
    <row r="177" spans="1:7" hidden="1" x14ac:dyDescent="0.3">
      <c r="A177" t="str">
        <f t="shared" si="6"/>
        <v>GUATAPÉ</v>
      </c>
      <c r="B177" t="str">
        <f t="shared" si="8"/>
        <v>Hotel Spa Bliss Guatape</v>
      </c>
      <c r="C177" s="35">
        <v>10</v>
      </c>
      <c r="G177" s="14">
        <v>45797</v>
      </c>
    </row>
    <row r="178" spans="1:7" hidden="1" x14ac:dyDescent="0.3">
      <c r="A178" t="str">
        <f t="shared" si="6"/>
        <v>GUATAPÉ</v>
      </c>
      <c r="B178" t="str">
        <f t="shared" si="8"/>
        <v>Hotel Spa Bliss Guatape</v>
      </c>
      <c r="C178" s="35">
        <v>10</v>
      </c>
      <c r="G178" s="14">
        <v>45798</v>
      </c>
    </row>
    <row r="179" spans="1:7" hidden="1" x14ac:dyDescent="0.3">
      <c r="A179" t="str">
        <f t="shared" si="6"/>
        <v>GUATAPÉ</v>
      </c>
      <c r="B179" t="str">
        <f t="shared" si="8"/>
        <v>Hotel Spa Bliss Guatape</v>
      </c>
      <c r="C179" s="35">
        <v>10</v>
      </c>
      <c r="G179" s="14">
        <v>45799</v>
      </c>
    </row>
    <row r="180" spans="1:7" hidden="1" x14ac:dyDescent="0.3">
      <c r="A180" t="str">
        <f t="shared" si="6"/>
        <v>GUATAPÉ</v>
      </c>
      <c r="C180" s="35">
        <v>10</v>
      </c>
      <c r="D180">
        <v>0</v>
      </c>
      <c r="E180" s="15">
        <v>0</v>
      </c>
      <c r="F180" s="15">
        <v>0</v>
      </c>
      <c r="G180" s="14">
        <v>45800</v>
      </c>
    </row>
    <row r="181" spans="1:7" hidden="1" x14ac:dyDescent="0.3">
      <c r="A181" t="str">
        <f t="shared" si="6"/>
        <v>GUATAPÉ</v>
      </c>
      <c r="B181" t="str">
        <f>+B176</f>
        <v>Hotel Spa Bliss Guatape</v>
      </c>
      <c r="C181" s="35">
        <v>10</v>
      </c>
      <c r="G181" s="14">
        <v>45801</v>
      </c>
    </row>
    <row r="182" spans="1:7" hidden="1" x14ac:dyDescent="0.3">
      <c r="A182" t="str">
        <f t="shared" si="6"/>
        <v>GUATAPÉ</v>
      </c>
      <c r="B182" t="str">
        <f t="shared" si="7"/>
        <v>Hotel Spa Bliss Guatape</v>
      </c>
      <c r="C182" s="35">
        <v>10</v>
      </c>
      <c r="G182" s="14">
        <v>45802</v>
      </c>
    </row>
    <row r="183" spans="1:7" hidden="1" x14ac:dyDescent="0.3">
      <c r="A183" t="str">
        <f t="shared" si="6"/>
        <v>GUATAPÉ</v>
      </c>
      <c r="B183" t="str">
        <f t="shared" si="7"/>
        <v>Hotel Spa Bliss Guatape</v>
      </c>
      <c r="C183" s="35">
        <v>10</v>
      </c>
      <c r="G183" s="14">
        <v>45803</v>
      </c>
    </row>
    <row r="184" spans="1:7" hidden="1" x14ac:dyDescent="0.3">
      <c r="A184" t="str">
        <f t="shared" si="6"/>
        <v>GUATAPÉ</v>
      </c>
      <c r="B184" t="str">
        <f t="shared" si="7"/>
        <v>Hotel Spa Bliss Guatape</v>
      </c>
      <c r="C184" s="35">
        <v>10</v>
      </c>
      <c r="G184" s="14">
        <v>45804</v>
      </c>
    </row>
    <row r="185" spans="1:7" hidden="1" x14ac:dyDescent="0.3">
      <c r="A185" t="str">
        <f t="shared" si="6"/>
        <v>GUATAPÉ</v>
      </c>
      <c r="B185" t="str">
        <f t="shared" si="7"/>
        <v>Hotel Spa Bliss Guatape</v>
      </c>
      <c r="C185" s="35">
        <v>10</v>
      </c>
      <c r="G185" s="14">
        <v>45805</v>
      </c>
    </row>
    <row r="186" spans="1:7" hidden="1" x14ac:dyDescent="0.3">
      <c r="A186" t="str">
        <f t="shared" si="6"/>
        <v>GUATAPÉ</v>
      </c>
      <c r="B186" t="str">
        <f t="shared" si="7"/>
        <v>Hotel Spa Bliss Guatape</v>
      </c>
      <c r="C186" s="35">
        <v>10</v>
      </c>
      <c r="G186" s="14">
        <v>45806</v>
      </c>
    </row>
    <row r="187" spans="1:7" hidden="1" x14ac:dyDescent="0.3">
      <c r="A187" t="str">
        <f t="shared" si="6"/>
        <v>GUATAPÉ</v>
      </c>
      <c r="B187" t="str">
        <f t="shared" si="7"/>
        <v>Hotel Spa Bliss Guatape</v>
      </c>
      <c r="C187" s="35">
        <v>10</v>
      </c>
      <c r="G187" s="14">
        <v>45807</v>
      </c>
    </row>
    <row r="188" spans="1:7" hidden="1" x14ac:dyDescent="0.3">
      <c r="A188" t="str">
        <f t="shared" si="6"/>
        <v>GUATAPÉ</v>
      </c>
      <c r="B188" t="str">
        <f t="shared" si="7"/>
        <v>Hotel Spa Bliss Guatape</v>
      </c>
      <c r="C188" s="35">
        <v>10</v>
      </c>
      <c r="D188">
        <v>0</v>
      </c>
      <c r="G188" s="14">
        <v>45808</v>
      </c>
    </row>
    <row r="189" spans="1:7" hidden="1" x14ac:dyDescent="0.3">
      <c r="A189" t="s">
        <v>6</v>
      </c>
      <c r="B189" t="s">
        <v>12</v>
      </c>
      <c r="G189" s="14">
        <v>45748</v>
      </c>
    </row>
    <row r="190" spans="1:7" hidden="1" x14ac:dyDescent="0.3">
      <c r="A190" t="str">
        <f t="shared" ref="A190:A230" si="9">+A189</f>
        <v>MARINILLA, ANTIOQUIA</v>
      </c>
      <c r="B190" t="str">
        <f t="shared" ref="B190:B230" si="10">+B189</f>
        <v>Aeropuerto Rionegro- Medellin Hotel Mansión Sant Serrant</v>
      </c>
      <c r="G190" s="14">
        <v>45749</v>
      </c>
    </row>
    <row r="191" spans="1:7" hidden="1" x14ac:dyDescent="0.3">
      <c r="A191" t="str">
        <f t="shared" si="9"/>
        <v>MARINILLA, ANTIOQUIA</v>
      </c>
      <c r="B191" t="str">
        <f t="shared" si="10"/>
        <v>Aeropuerto Rionegro- Medellin Hotel Mansión Sant Serrant</v>
      </c>
      <c r="G191" s="14">
        <v>45750</v>
      </c>
    </row>
    <row r="192" spans="1:7" hidden="1" x14ac:dyDescent="0.3">
      <c r="A192" t="str">
        <f t="shared" si="9"/>
        <v>MARINILLA, ANTIOQUIA</v>
      </c>
      <c r="B192" t="str">
        <f t="shared" si="10"/>
        <v>Aeropuerto Rionegro- Medellin Hotel Mansión Sant Serrant</v>
      </c>
      <c r="G192" s="14">
        <v>45751</v>
      </c>
    </row>
    <row r="193" spans="1:7" hidden="1" x14ac:dyDescent="0.3">
      <c r="A193" t="str">
        <f t="shared" si="9"/>
        <v>MARINILLA, ANTIOQUIA</v>
      </c>
      <c r="B193" t="str">
        <f t="shared" si="10"/>
        <v>Aeropuerto Rionegro- Medellin Hotel Mansión Sant Serrant</v>
      </c>
      <c r="G193" s="14">
        <v>45752</v>
      </c>
    </row>
    <row r="194" spans="1:7" hidden="1" x14ac:dyDescent="0.3">
      <c r="A194" t="str">
        <f t="shared" si="9"/>
        <v>MARINILLA, ANTIOQUIA</v>
      </c>
      <c r="B194" t="str">
        <f t="shared" si="10"/>
        <v>Aeropuerto Rionegro- Medellin Hotel Mansión Sant Serrant</v>
      </c>
      <c r="G194" s="14">
        <v>45753</v>
      </c>
    </row>
    <row r="195" spans="1:7" hidden="1" x14ac:dyDescent="0.3">
      <c r="A195" t="str">
        <f t="shared" si="9"/>
        <v>MARINILLA, ANTIOQUIA</v>
      </c>
      <c r="B195" t="str">
        <f t="shared" si="10"/>
        <v>Aeropuerto Rionegro- Medellin Hotel Mansión Sant Serrant</v>
      </c>
      <c r="G195" s="14">
        <v>45754</v>
      </c>
    </row>
    <row r="196" spans="1:7" hidden="1" x14ac:dyDescent="0.3">
      <c r="A196" t="str">
        <f t="shared" si="9"/>
        <v>MARINILLA, ANTIOQUIA</v>
      </c>
      <c r="B196" t="str">
        <f t="shared" si="10"/>
        <v>Aeropuerto Rionegro- Medellin Hotel Mansión Sant Serrant</v>
      </c>
      <c r="G196" s="14">
        <v>45755</v>
      </c>
    </row>
    <row r="197" spans="1:7" hidden="1" x14ac:dyDescent="0.3">
      <c r="A197" t="str">
        <f t="shared" si="9"/>
        <v>MARINILLA, ANTIOQUIA</v>
      </c>
      <c r="B197" t="str">
        <f t="shared" si="10"/>
        <v>Aeropuerto Rionegro- Medellin Hotel Mansión Sant Serrant</v>
      </c>
      <c r="G197" s="14">
        <v>45756</v>
      </c>
    </row>
    <row r="198" spans="1:7" hidden="1" x14ac:dyDescent="0.3">
      <c r="A198" t="str">
        <f t="shared" si="9"/>
        <v>MARINILLA, ANTIOQUIA</v>
      </c>
      <c r="B198" t="str">
        <f t="shared" si="10"/>
        <v>Aeropuerto Rionegro- Medellin Hotel Mansión Sant Serrant</v>
      </c>
      <c r="G198" s="14">
        <v>45757</v>
      </c>
    </row>
    <row r="199" spans="1:7" hidden="1" x14ac:dyDescent="0.3">
      <c r="A199" t="str">
        <f t="shared" si="9"/>
        <v>MARINILLA, ANTIOQUIA</v>
      </c>
      <c r="B199" t="str">
        <f t="shared" si="10"/>
        <v>Aeropuerto Rionegro- Medellin Hotel Mansión Sant Serrant</v>
      </c>
      <c r="G199" s="14">
        <v>45758</v>
      </c>
    </row>
    <row r="200" spans="1:7" hidden="1" x14ac:dyDescent="0.3">
      <c r="A200" t="str">
        <f t="shared" si="9"/>
        <v>MARINILLA, ANTIOQUIA</v>
      </c>
      <c r="B200" t="str">
        <f t="shared" si="10"/>
        <v>Aeropuerto Rionegro- Medellin Hotel Mansión Sant Serrant</v>
      </c>
      <c r="G200" s="14">
        <v>45759</v>
      </c>
    </row>
    <row r="201" spans="1:7" hidden="1" x14ac:dyDescent="0.3">
      <c r="A201" t="str">
        <f t="shared" si="9"/>
        <v>MARINILLA, ANTIOQUIA</v>
      </c>
      <c r="B201" t="str">
        <f t="shared" si="10"/>
        <v>Aeropuerto Rionegro- Medellin Hotel Mansión Sant Serrant</v>
      </c>
      <c r="G201" s="14">
        <v>45760</v>
      </c>
    </row>
    <row r="202" spans="1:7" hidden="1" x14ac:dyDescent="0.3">
      <c r="A202" t="str">
        <f t="shared" si="9"/>
        <v>MARINILLA, ANTIOQUIA</v>
      </c>
      <c r="B202" t="str">
        <f t="shared" si="10"/>
        <v>Aeropuerto Rionegro- Medellin Hotel Mansión Sant Serrant</v>
      </c>
      <c r="G202" s="14">
        <v>45761</v>
      </c>
    </row>
    <row r="203" spans="1:7" hidden="1" x14ac:dyDescent="0.3">
      <c r="A203" t="str">
        <f t="shared" si="9"/>
        <v>MARINILLA, ANTIOQUIA</v>
      </c>
      <c r="B203" t="str">
        <f t="shared" si="10"/>
        <v>Aeropuerto Rionegro- Medellin Hotel Mansión Sant Serrant</v>
      </c>
      <c r="G203" s="14">
        <v>45762</v>
      </c>
    </row>
    <row r="204" spans="1:7" hidden="1" x14ac:dyDescent="0.3">
      <c r="A204" t="str">
        <f t="shared" si="9"/>
        <v>MARINILLA, ANTIOQUIA</v>
      </c>
      <c r="B204" t="str">
        <f t="shared" si="10"/>
        <v>Aeropuerto Rionegro- Medellin Hotel Mansión Sant Serrant</v>
      </c>
      <c r="G204" s="14">
        <v>45763</v>
      </c>
    </row>
    <row r="205" spans="1:7" hidden="1" x14ac:dyDescent="0.3">
      <c r="A205" t="str">
        <f t="shared" si="9"/>
        <v>MARINILLA, ANTIOQUIA</v>
      </c>
      <c r="B205" t="str">
        <f t="shared" si="10"/>
        <v>Aeropuerto Rionegro- Medellin Hotel Mansión Sant Serrant</v>
      </c>
      <c r="G205" s="14">
        <v>45764</v>
      </c>
    </row>
    <row r="206" spans="1:7" hidden="1" x14ac:dyDescent="0.3">
      <c r="A206" t="str">
        <f t="shared" si="9"/>
        <v>MARINILLA, ANTIOQUIA</v>
      </c>
      <c r="B206" t="str">
        <f t="shared" si="10"/>
        <v>Aeropuerto Rionegro- Medellin Hotel Mansión Sant Serrant</v>
      </c>
      <c r="G206" s="14">
        <v>45765</v>
      </c>
    </row>
    <row r="207" spans="1:7" hidden="1" x14ac:dyDescent="0.3">
      <c r="A207" t="str">
        <f t="shared" si="9"/>
        <v>MARINILLA, ANTIOQUIA</v>
      </c>
      <c r="B207" t="str">
        <f t="shared" si="10"/>
        <v>Aeropuerto Rionegro- Medellin Hotel Mansión Sant Serrant</v>
      </c>
      <c r="G207" s="14">
        <v>45766</v>
      </c>
    </row>
    <row r="208" spans="1:7" hidden="1" x14ac:dyDescent="0.3">
      <c r="A208" t="str">
        <f t="shared" si="9"/>
        <v>MARINILLA, ANTIOQUIA</v>
      </c>
      <c r="B208" t="str">
        <f t="shared" si="10"/>
        <v>Aeropuerto Rionegro- Medellin Hotel Mansión Sant Serrant</v>
      </c>
      <c r="G208" s="14">
        <v>45767</v>
      </c>
    </row>
    <row r="209" spans="1:7" hidden="1" x14ac:dyDescent="0.3">
      <c r="A209" t="str">
        <f t="shared" si="9"/>
        <v>MARINILLA, ANTIOQUIA</v>
      </c>
      <c r="B209" t="str">
        <f t="shared" si="10"/>
        <v>Aeropuerto Rionegro- Medellin Hotel Mansión Sant Serrant</v>
      </c>
      <c r="G209" s="14">
        <v>45768</v>
      </c>
    </row>
    <row r="210" spans="1:7" hidden="1" x14ac:dyDescent="0.3">
      <c r="A210" t="str">
        <f t="shared" si="9"/>
        <v>MARINILLA, ANTIOQUIA</v>
      </c>
      <c r="B210" t="str">
        <f t="shared" si="10"/>
        <v>Aeropuerto Rionegro- Medellin Hotel Mansión Sant Serrant</v>
      </c>
      <c r="G210" s="14">
        <v>45769</v>
      </c>
    </row>
    <row r="211" spans="1:7" hidden="1" x14ac:dyDescent="0.3">
      <c r="A211" t="str">
        <f t="shared" si="9"/>
        <v>MARINILLA, ANTIOQUIA</v>
      </c>
      <c r="B211" t="str">
        <f t="shared" si="10"/>
        <v>Aeropuerto Rionegro- Medellin Hotel Mansión Sant Serrant</v>
      </c>
      <c r="G211" s="14">
        <v>45770</v>
      </c>
    </row>
    <row r="212" spans="1:7" hidden="1" x14ac:dyDescent="0.3">
      <c r="A212" t="str">
        <f t="shared" si="9"/>
        <v>MARINILLA, ANTIOQUIA</v>
      </c>
      <c r="B212" t="str">
        <f t="shared" si="10"/>
        <v>Aeropuerto Rionegro- Medellin Hotel Mansión Sant Serrant</v>
      </c>
      <c r="G212" s="14">
        <v>45771</v>
      </c>
    </row>
    <row r="213" spans="1:7" hidden="1" x14ac:dyDescent="0.3">
      <c r="A213" t="str">
        <f t="shared" si="9"/>
        <v>MARINILLA, ANTIOQUIA</v>
      </c>
      <c r="B213" t="str">
        <f t="shared" si="10"/>
        <v>Aeropuerto Rionegro- Medellin Hotel Mansión Sant Serrant</v>
      </c>
      <c r="G213" s="14">
        <v>45772</v>
      </c>
    </row>
    <row r="214" spans="1:7" hidden="1" x14ac:dyDescent="0.3">
      <c r="A214" t="str">
        <f t="shared" si="9"/>
        <v>MARINILLA, ANTIOQUIA</v>
      </c>
      <c r="B214" t="str">
        <f t="shared" si="10"/>
        <v>Aeropuerto Rionegro- Medellin Hotel Mansión Sant Serrant</v>
      </c>
      <c r="G214" s="14">
        <v>45773</v>
      </c>
    </row>
    <row r="215" spans="1:7" hidden="1" x14ac:dyDescent="0.3">
      <c r="A215" t="str">
        <f t="shared" si="9"/>
        <v>MARINILLA, ANTIOQUIA</v>
      </c>
      <c r="B215" t="str">
        <f t="shared" si="10"/>
        <v>Aeropuerto Rionegro- Medellin Hotel Mansión Sant Serrant</v>
      </c>
      <c r="G215" s="14">
        <v>45774</v>
      </c>
    </row>
    <row r="216" spans="1:7" hidden="1" x14ac:dyDescent="0.3">
      <c r="A216" t="str">
        <f t="shared" si="9"/>
        <v>MARINILLA, ANTIOQUIA</v>
      </c>
      <c r="B216" t="str">
        <f t="shared" si="10"/>
        <v>Aeropuerto Rionegro- Medellin Hotel Mansión Sant Serrant</v>
      </c>
      <c r="G216" s="14">
        <v>45775</v>
      </c>
    </row>
    <row r="217" spans="1:7" hidden="1" x14ac:dyDescent="0.3">
      <c r="A217" t="str">
        <f t="shared" si="9"/>
        <v>MARINILLA, ANTIOQUIA</v>
      </c>
      <c r="B217" t="str">
        <f t="shared" si="10"/>
        <v>Aeropuerto Rionegro- Medellin Hotel Mansión Sant Serrant</v>
      </c>
      <c r="G217" s="14">
        <v>45776</v>
      </c>
    </row>
    <row r="218" spans="1:7" hidden="1" x14ac:dyDescent="0.3">
      <c r="A218" t="str">
        <f t="shared" si="9"/>
        <v>MARINILLA, ANTIOQUIA</v>
      </c>
      <c r="B218" t="str">
        <f t="shared" si="10"/>
        <v>Aeropuerto Rionegro- Medellin Hotel Mansión Sant Serrant</v>
      </c>
      <c r="G218" s="14">
        <v>45777</v>
      </c>
    </row>
    <row r="219" spans="1:7" hidden="1" x14ac:dyDescent="0.3">
      <c r="A219" t="str">
        <f t="shared" si="9"/>
        <v>MARINILLA, ANTIOQUIA</v>
      </c>
      <c r="B219" t="str">
        <f t="shared" si="10"/>
        <v>Aeropuerto Rionegro- Medellin Hotel Mansión Sant Serrant</v>
      </c>
      <c r="G219" s="14">
        <v>45778</v>
      </c>
    </row>
    <row r="220" spans="1:7" hidden="1" x14ac:dyDescent="0.3">
      <c r="A220" t="str">
        <f t="shared" si="9"/>
        <v>MARINILLA, ANTIOQUIA</v>
      </c>
      <c r="B220" t="str">
        <f t="shared" si="10"/>
        <v>Aeropuerto Rionegro- Medellin Hotel Mansión Sant Serrant</v>
      </c>
      <c r="G220" s="14">
        <v>45779</v>
      </c>
    </row>
    <row r="221" spans="1:7" hidden="1" x14ac:dyDescent="0.3">
      <c r="A221" t="str">
        <f t="shared" si="9"/>
        <v>MARINILLA, ANTIOQUIA</v>
      </c>
      <c r="B221" t="str">
        <f t="shared" si="10"/>
        <v>Aeropuerto Rionegro- Medellin Hotel Mansión Sant Serrant</v>
      </c>
      <c r="G221" s="14">
        <v>45780</v>
      </c>
    </row>
    <row r="222" spans="1:7" hidden="1" x14ac:dyDescent="0.3">
      <c r="A222" t="str">
        <f t="shared" si="9"/>
        <v>MARINILLA, ANTIOQUIA</v>
      </c>
      <c r="B222" t="str">
        <f t="shared" si="10"/>
        <v>Aeropuerto Rionegro- Medellin Hotel Mansión Sant Serrant</v>
      </c>
      <c r="G222" s="14">
        <v>45781</v>
      </c>
    </row>
    <row r="223" spans="1:7" hidden="1" x14ac:dyDescent="0.3">
      <c r="A223" t="str">
        <f t="shared" si="9"/>
        <v>MARINILLA, ANTIOQUIA</v>
      </c>
      <c r="B223" t="str">
        <f t="shared" si="10"/>
        <v>Aeropuerto Rionegro- Medellin Hotel Mansión Sant Serrant</v>
      </c>
      <c r="G223" s="14">
        <v>45782</v>
      </c>
    </row>
    <row r="224" spans="1:7" hidden="1" x14ac:dyDescent="0.3">
      <c r="A224" t="str">
        <f t="shared" si="9"/>
        <v>MARINILLA, ANTIOQUIA</v>
      </c>
      <c r="B224" t="str">
        <f t="shared" si="10"/>
        <v>Aeropuerto Rionegro- Medellin Hotel Mansión Sant Serrant</v>
      </c>
      <c r="G224" s="14">
        <v>45783</v>
      </c>
    </row>
    <row r="225" spans="1:7" hidden="1" x14ac:dyDescent="0.3">
      <c r="A225" t="str">
        <f t="shared" si="9"/>
        <v>MARINILLA, ANTIOQUIA</v>
      </c>
      <c r="B225" t="str">
        <f t="shared" si="10"/>
        <v>Aeropuerto Rionegro- Medellin Hotel Mansión Sant Serrant</v>
      </c>
      <c r="G225" s="14">
        <v>45784</v>
      </c>
    </row>
    <row r="226" spans="1:7" hidden="1" x14ac:dyDescent="0.3">
      <c r="A226" t="str">
        <f t="shared" si="9"/>
        <v>MARINILLA, ANTIOQUIA</v>
      </c>
      <c r="B226" t="str">
        <f t="shared" si="10"/>
        <v>Aeropuerto Rionegro- Medellin Hotel Mansión Sant Serrant</v>
      </c>
      <c r="G226" s="14">
        <v>45785</v>
      </c>
    </row>
    <row r="227" spans="1:7" hidden="1" x14ac:dyDescent="0.3">
      <c r="A227" t="str">
        <f t="shared" si="9"/>
        <v>MARINILLA, ANTIOQUIA</v>
      </c>
      <c r="B227" t="str">
        <f t="shared" si="10"/>
        <v>Aeropuerto Rionegro- Medellin Hotel Mansión Sant Serrant</v>
      </c>
      <c r="G227" s="14">
        <v>45786</v>
      </c>
    </row>
    <row r="228" spans="1:7" hidden="1" x14ac:dyDescent="0.3">
      <c r="A228" t="str">
        <f t="shared" si="9"/>
        <v>MARINILLA, ANTIOQUIA</v>
      </c>
      <c r="B228" t="str">
        <f t="shared" si="10"/>
        <v>Aeropuerto Rionegro- Medellin Hotel Mansión Sant Serrant</v>
      </c>
      <c r="G228" s="14">
        <v>45787</v>
      </c>
    </row>
    <row r="229" spans="1:7" hidden="1" x14ac:dyDescent="0.3">
      <c r="A229" t="str">
        <f t="shared" si="9"/>
        <v>MARINILLA, ANTIOQUIA</v>
      </c>
      <c r="B229" t="str">
        <f t="shared" si="10"/>
        <v>Aeropuerto Rionegro- Medellin Hotel Mansión Sant Serrant</v>
      </c>
      <c r="G229" s="14">
        <v>45788</v>
      </c>
    </row>
    <row r="230" spans="1:7" hidden="1" x14ac:dyDescent="0.3">
      <c r="A230" t="str">
        <f t="shared" si="9"/>
        <v>MARINILLA, ANTIOQUIA</v>
      </c>
      <c r="B230" t="str">
        <f t="shared" si="10"/>
        <v>Aeropuerto Rionegro- Medellin Hotel Mansión Sant Serrant</v>
      </c>
      <c r="G230" s="14">
        <v>45789</v>
      </c>
    </row>
    <row r="231" spans="1:7" hidden="1" x14ac:dyDescent="0.3">
      <c r="A231" t="s">
        <v>7</v>
      </c>
      <c r="B231" t="s">
        <v>14</v>
      </c>
      <c r="G231" s="14">
        <v>45749</v>
      </c>
    </row>
    <row r="232" spans="1:7" hidden="1" x14ac:dyDescent="0.3">
      <c r="A232" t="str">
        <f t="shared" ref="A232:A272" si="11">+A231</f>
        <v>GUATAPÉ</v>
      </c>
      <c r="B232" t="str">
        <f t="shared" ref="B232:B272" si="12">+B231</f>
        <v>Hobbit Hotel Ecolodge- Guatapé</v>
      </c>
      <c r="G232" s="14">
        <v>45750</v>
      </c>
    </row>
    <row r="233" spans="1:7" hidden="1" x14ac:dyDescent="0.3">
      <c r="A233" t="str">
        <f t="shared" si="11"/>
        <v>GUATAPÉ</v>
      </c>
      <c r="B233" t="str">
        <f t="shared" si="12"/>
        <v>Hobbit Hotel Ecolodge- Guatapé</v>
      </c>
      <c r="G233" s="14">
        <v>45751</v>
      </c>
    </row>
    <row r="234" spans="1:7" hidden="1" x14ac:dyDescent="0.3">
      <c r="A234" t="str">
        <f t="shared" si="11"/>
        <v>GUATAPÉ</v>
      </c>
      <c r="B234" t="str">
        <f t="shared" si="12"/>
        <v>Hobbit Hotel Ecolodge- Guatapé</v>
      </c>
      <c r="G234" s="14">
        <v>45752</v>
      </c>
    </row>
    <row r="235" spans="1:7" hidden="1" x14ac:dyDescent="0.3">
      <c r="A235" t="str">
        <f t="shared" si="11"/>
        <v>GUATAPÉ</v>
      </c>
      <c r="B235" t="str">
        <f t="shared" si="12"/>
        <v>Hobbit Hotel Ecolodge- Guatapé</v>
      </c>
      <c r="G235" s="14">
        <v>45753</v>
      </c>
    </row>
    <row r="236" spans="1:7" hidden="1" x14ac:dyDescent="0.3">
      <c r="A236" t="str">
        <f t="shared" si="11"/>
        <v>GUATAPÉ</v>
      </c>
      <c r="B236" t="str">
        <f t="shared" si="12"/>
        <v>Hobbit Hotel Ecolodge- Guatapé</v>
      </c>
      <c r="G236" s="14">
        <v>45754</v>
      </c>
    </row>
    <row r="237" spans="1:7" hidden="1" x14ac:dyDescent="0.3">
      <c r="A237" t="str">
        <f t="shared" si="11"/>
        <v>GUATAPÉ</v>
      </c>
      <c r="B237" t="str">
        <f t="shared" si="12"/>
        <v>Hobbit Hotel Ecolodge- Guatapé</v>
      </c>
      <c r="G237" s="14">
        <v>45755</v>
      </c>
    </row>
    <row r="238" spans="1:7" hidden="1" x14ac:dyDescent="0.3">
      <c r="A238" t="str">
        <f t="shared" si="11"/>
        <v>GUATAPÉ</v>
      </c>
      <c r="B238" t="str">
        <f t="shared" si="12"/>
        <v>Hobbit Hotel Ecolodge- Guatapé</v>
      </c>
      <c r="G238" s="14">
        <v>45756</v>
      </c>
    </row>
    <row r="239" spans="1:7" hidden="1" x14ac:dyDescent="0.3">
      <c r="A239" t="str">
        <f t="shared" si="11"/>
        <v>GUATAPÉ</v>
      </c>
      <c r="B239" t="str">
        <f t="shared" si="12"/>
        <v>Hobbit Hotel Ecolodge- Guatapé</v>
      </c>
      <c r="G239" s="14">
        <v>45757</v>
      </c>
    </row>
    <row r="240" spans="1:7" hidden="1" x14ac:dyDescent="0.3">
      <c r="A240" t="str">
        <f t="shared" si="11"/>
        <v>GUATAPÉ</v>
      </c>
      <c r="B240" t="str">
        <f t="shared" si="12"/>
        <v>Hobbit Hotel Ecolodge- Guatapé</v>
      </c>
      <c r="G240" s="14">
        <v>45758</v>
      </c>
    </row>
    <row r="241" spans="1:7" hidden="1" x14ac:dyDescent="0.3">
      <c r="A241" t="str">
        <f t="shared" si="11"/>
        <v>GUATAPÉ</v>
      </c>
      <c r="B241" t="str">
        <f t="shared" si="12"/>
        <v>Hobbit Hotel Ecolodge- Guatapé</v>
      </c>
      <c r="G241" s="14">
        <v>45759</v>
      </c>
    </row>
    <row r="242" spans="1:7" hidden="1" x14ac:dyDescent="0.3">
      <c r="A242" t="str">
        <f t="shared" si="11"/>
        <v>GUATAPÉ</v>
      </c>
      <c r="B242" t="str">
        <f t="shared" si="12"/>
        <v>Hobbit Hotel Ecolodge- Guatapé</v>
      </c>
      <c r="G242" s="14">
        <v>45760</v>
      </c>
    </row>
    <row r="243" spans="1:7" hidden="1" x14ac:dyDescent="0.3">
      <c r="A243" t="str">
        <f t="shared" si="11"/>
        <v>GUATAPÉ</v>
      </c>
      <c r="B243" t="str">
        <f t="shared" si="12"/>
        <v>Hobbit Hotel Ecolodge- Guatapé</v>
      </c>
      <c r="G243" s="14">
        <v>45761</v>
      </c>
    </row>
    <row r="244" spans="1:7" hidden="1" x14ac:dyDescent="0.3">
      <c r="A244" t="str">
        <f t="shared" si="11"/>
        <v>GUATAPÉ</v>
      </c>
      <c r="B244" t="str">
        <f t="shared" si="12"/>
        <v>Hobbit Hotel Ecolodge- Guatapé</v>
      </c>
      <c r="G244" s="14">
        <v>45762</v>
      </c>
    </row>
    <row r="245" spans="1:7" hidden="1" x14ac:dyDescent="0.3">
      <c r="A245" t="str">
        <f t="shared" si="11"/>
        <v>GUATAPÉ</v>
      </c>
      <c r="B245" t="str">
        <f t="shared" si="12"/>
        <v>Hobbit Hotel Ecolodge- Guatapé</v>
      </c>
      <c r="G245" s="14">
        <v>45763</v>
      </c>
    </row>
    <row r="246" spans="1:7" hidden="1" x14ac:dyDescent="0.3">
      <c r="A246" t="str">
        <f t="shared" si="11"/>
        <v>GUATAPÉ</v>
      </c>
      <c r="B246" t="str">
        <f t="shared" si="12"/>
        <v>Hobbit Hotel Ecolodge- Guatapé</v>
      </c>
      <c r="G246" s="14">
        <v>45764</v>
      </c>
    </row>
    <row r="247" spans="1:7" hidden="1" x14ac:dyDescent="0.3">
      <c r="A247" t="str">
        <f t="shared" si="11"/>
        <v>GUATAPÉ</v>
      </c>
      <c r="B247" t="str">
        <f t="shared" si="12"/>
        <v>Hobbit Hotel Ecolodge- Guatapé</v>
      </c>
      <c r="G247" s="14">
        <v>45765</v>
      </c>
    </row>
    <row r="248" spans="1:7" hidden="1" x14ac:dyDescent="0.3">
      <c r="A248" t="str">
        <f t="shared" si="11"/>
        <v>GUATAPÉ</v>
      </c>
      <c r="B248" t="str">
        <f t="shared" si="12"/>
        <v>Hobbit Hotel Ecolodge- Guatapé</v>
      </c>
      <c r="G248" s="14">
        <v>45766</v>
      </c>
    </row>
    <row r="249" spans="1:7" hidden="1" x14ac:dyDescent="0.3">
      <c r="A249" t="str">
        <f t="shared" si="11"/>
        <v>GUATAPÉ</v>
      </c>
      <c r="B249" t="str">
        <f t="shared" si="12"/>
        <v>Hobbit Hotel Ecolodge- Guatapé</v>
      </c>
      <c r="G249" s="14">
        <v>45767</v>
      </c>
    </row>
    <row r="250" spans="1:7" hidden="1" x14ac:dyDescent="0.3">
      <c r="A250" t="str">
        <f t="shared" si="11"/>
        <v>GUATAPÉ</v>
      </c>
      <c r="B250" t="str">
        <f t="shared" si="12"/>
        <v>Hobbit Hotel Ecolodge- Guatapé</v>
      </c>
      <c r="G250" s="14">
        <v>45768</v>
      </c>
    </row>
    <row r="251" spans="1:7" hidden="1" x14ac:dyDescent="0.3">
      <c r="A251" t="str">
        <f t="shared" si="11"/>
        <v>GUATAPÉ</v>
      </c>
      <c r="B251" t="str">
        <f t="shared" si="12"/>
        <v>Hobbit Hotel Ecolodge- Guatapé</v>
      </c>
      <c r="G251" s="14">
        <v>45769</v>
      </c>
    </row>
    <row r="252" spans="1:7" hidden="1" x14ac:dyDescent="0.3">
      <c r="A252" t="str">
        <f t="shared" si="11"/>
        <v>GUATAPÉ</v>
      </c>
      <c r="B252" t="str">
        <f t="shared" si="12"/>
        <v>Hobbit Hotel Ecolodge- Guatapé</v>
      </c>
      <c r="G252" s="14">
        <v>45770</v>
      </c>
    </row>
    <row r="253" spans="1:7" hidden="1" x14ac:dyDescent="0.3">
      <c r="A253" t="str">
        <f t="shared" si="11"/>
        <v>GUATAPÉ</v>
      </c>
      <c r="B253" t="str">
        <f t="shared" si="12"/>
        <v>Hobbit Hotel Ecolodge- Guatapé</v>
      </c>
      <c r="G253" s="14">
        <v>45771</v>
      </c>
    </row>
    <row r="254" spans="1:7" hidden="1" x14ac:dyDescent="0.3">
      <c r="A254" t="str">
        <f t="shared" si="11"/>
        <v>GUATAPÉ</v>
      </c>
      <c r="B254" t="str">
        <f t="shared" si="12"/>
        <v>Hobbit Hotel Ecolodge- Guatapé</v>
      </c>
      <c r="G254" s="14">
        <v>45772</v>
      </c>
    </row>
    <row r="255" spans="1:7" hidden="1" x14ac:dyDescent="0.3">
      <c r="A255" t="str">
        <f t="shared" si="11"/>
        <v>GUATAPÉ</v>
      </c>
      <c r="B255" t="str">
        <f t="shared" si="12"/>
        <v>Hobbit Hotel Ecolodge- Guatapé</v>
      </c>
      <c r="G255" s="14">
        <v>45773</v>
      </c>
    </row>
    <row r="256" spans="1:7" hidden="1" x14ac:dyDescent="0.3">
      <c r="A256" t="str">
        <f t="shared" si="11"/>
        <v>GUATAPÉ</v>
      </c>
      <c r="B256" t="str">
        <f t="shared" si="12"/>
        <v>Hobbit Hotel Ecolodge- Guatapé</v>
      </c>
      <c r="G256" s="14">
        <v>45774</v>
      </c>
    </row>
    <row r="257" spans="1:7" hidden="1" x14ac:dyDescent="0.3">
      <c r="A257" t="str">
        <f t="shared" si="11"/>
        <v>GUATAPÉ</v>
      </c>
      <c r="B257" t="str">
        <f t="shared" si="12"/>
        <v>Hobbit Hotel Ecolodge- Guatapé</v>
      </c>
      <c r="G257" s="14">
        <v>45775</v>
      </c>
    </row>
    <row r="258" spans="1:7" hidden="1" x14ac:dyDescent="0.3">
      <c r="A258" t="str">
        <f t="shared" si="11"/>
        <v>GUATAPÉ</v>
      </c>
      <c r="B258" t="str">
        <f t="shared" si="12"/>
        <v>Hobbit Hotel Ecolodge- Guatapé</v>
      </c>
      <c r="G258" s="14">
        <v>45776</v>
      </c>
    </row>
    <row r="259" spans="1:7" hidden="1" x14ac:dyDescent="0.3">
      <c r="A259" t="str">
        <f t="shared" si="11"/>
        <v>GUATAPÉ</v>
      </c>
      <c r="B259" t="str">
        <f t="shared" si="12"/>
        <v>Hobbit Hotel Ecolodge- Guatapé</v>
      </c>
      <c r="G259" s="14">
        <v>45777</v>
      </c>
    </row>
    <row r="260" spans="1:7" hidden="1" x14ac:dyDescent="0.3">
      <c r="A260" t="str">
        <f t="shared" si="11"/>
        <v>GUATAPÉ</v>
      </c>
      <c r="B260" t="str">
        <f t="shared" si="12"/>
        <v>Hobbit Hotel Ecolodge- Guatapé</v>
      </c>
      <c r="G260" s="14">
        <v>45830</v>
      </c>
    </row>
    <row r="261" spans="1:7" hidden="1" x14ac:dyDescent="0.3">
      <c r="A261" t="str">
        <f t="shared" si="11"/>
        <v>GUATAPÉ</v>
      </c>
      <c r="B261" t="str">
        <f t="shared" si="12"/>
        <v>Hobbit Hotel Ecolodge- Guatapé</v>
      </c>
      <c r="G261" s="14">
        <v>45831</v>
      </c>
    </row>
    <row r="262" spans="1:7" hidden="1" x14ac:dyDescent="0.3">
      <c r="A262" t="str">
        <f t="shared" si="11"/>
        <v>GUATAPÉ</v>
      </c>
      <c r="B262" t="str">
        <f t="shared" si="12"/>
        <v>Hobbit Hotel Ecolodge- Guatapé</v>
      </c>
      <c r="G262" s="14">
        <v>45832</v>
      </c>
    </row>
    <row r="263" spans="1:7" hidden="1" x14ac:dyDescent="0.3">
      <c r="A263" t="str">
        <f t="shared" si="11"/>
        <v>GUATAPÉ</v>
      </c>
      <c r="B263" t="str">
        <f t="shared" si="12"/>
        <v>Hobbit Hotel Ecolodge- Guatapé</v>
      </c>
      <c r="G263" s="14">
        <v>45833</v>
      </c>
    </row>
    <row r="264" spans="1:7" hidden="1" x14ac:dyDescent="0.3">
      <c r="A264" t="str">
        <f t="shared" si="11"/>
        <v>GUATAPÉ</v>
      </c>
      <c r="B264" t="str">
        <f t="shared" si="12"/>
        <v>Hobbit Hotel Ecolodge- Guatapé</v>
      </c>
      <c r="G264" s="14">
        <v>45834</v>
      </c>
    </row>
    <row r="265" spans="1:7" hidden="1" x14ac:dyDescent="0.3">
      <c r="A265" t="str">
        <f t="shared" si="11"/>
        <v>GUATAPÉ</v>
      </c>
      <c r="B265" t="str">
        <f t="shared" si="12"/>
        <v>Hobbit Hotel Ecolodge- Guatapé</v>
      </c>
      <c r="G265" s="14">
        <v>45835</v>
      </c>
    </row>
    <row r="266" spans="1:7" hidden="1" x14ac:dyDescent="0.3">
      <c r="A266" t="str">
        <f t="shared" si="11"/>
        <v>GUATAPÉ</v>
      </c>
      <c r="B266" t="str">
        <f t="shared" si="12"/>
        <v>Hobbit Hotel Ecolodge- Guatapé</v>
      </c>
      <c r="G266" s="14">
        <v>45836</v>
      </c>
    </row>
    <row r="267" spans="1:7" hidden="1" x14ac:dyDescent="0.3">
      <c r="A267" t="str">
        <f t="shared" si="11"/>
        <v>GUATAPÉ</v>
      </c>
      <c r="B267" t="str">
        <f t="shared" si="12"/>
        <v>Hobbit Hotel Ecolodge- Guatapé</v>
      </c>
      <c r="G267" s="14">
        <v>45837</v>
      </c>
    </row>
    <row r="268" spans="1:7" hidden="1" x14ac:dyDescent="0.3">
      <c r="A268" t="str">
        <f t="shared" si="11"/>
        <v>GUATAPÉ</v>
      </c>
      <c r="B268" t="str">
        <f t="shared" si="12"/>
        <v>Hobbit Hotel Ecolodge- Guatapé</v>
      </c>
      <c r="G268" s="14">
        <v>45838</v>
      </c>
    </row>
    <row r="269" spans="1:7" hidden="1" x14ac:dyDescent="0.3">
      <c r="A269" t="str">
        <f t="shared" si="11"/>
        <v>GUATAPÉ</v>
      </c>
      <c r="B269" t="str">
        <f t="shared" si="12"/>
        <v>Hobbit Hotel Ecolodge- Guatapé</v>
      </c>
      <c r="G269" s="14">
        <v>45839</v>
      </c>
    </row>
    <row r="270" spans="1:7" hidden="1" x14ac:dyDescent="0.3">
      <c r="A270" t="str">
        <f t="shared" si="11"/>
        <v>GUATAPÉ</v>
      </c>
      <c r="B270" t="str">
        <f t="shared" si="12"/>
        <v>Hobbit Hotel Ecolodge- Guatapé</v>
      </c>
      <c r="G270" s="14">
        <v>45840</v>
      </c>
    </row>
    <row r="271" spans="1:7" hidden="1" x14ac:dyDescent="0.3">
      <c r="A271" t="str">
        <f t="shared" si="11"/>
        <v>GUATAPÉ</v>
      </c>
      <c r="B271" t="str">
        <f t="shared" si="12"/>
        <v>Hobbit Hotel Ecolodge- Guatapé</v>
      </c>
      <c r="G271" s="14">
        <v>45841</v>
      </c>
    </row>
    <row r="272" spans="1:7" hidden="1" x14ac:dyDescent="0.3">
      <c r="A272" t="str">
        <f t="shared" si="11"/>
        <v>GUATAPÉ</v>
      </c>
      <c r="B272" t="str">
        <f t="shared" si="12"/>
        <v>Hobbit Hotel Ecolodge- Guatapé</v>
      </c>
      <c r="G272" s="14">
        <v>45842</v>
      </c>
    </row>
    <row r="273" spans="1:10" x14ac:dyDescent="0.3">
      <c r="A273" t="s">
        <v>15</v>
      </c>
      <c r="B273" t="s">
        <v>28</v>
      </c>
      <c r="C273" s="36">
        <v>8</v>
      </c>
      <c r="D273">
        <v>3</v>
      </c>
      <c r="E273" s="15">
        <v>289592</v>
      </c>
      <c r="F273" s="15">
        <v>868776</v>
      </c>
      <c r="G273" s="14">
        <v>45748</v>
      </c>
    </row>
    <row r="274" spans="1:10" x14ac:dyDescent="0.3">
      <c r="A274" t="str">
        <f t="shared" ref="A274:A314" si="13">+A273</f>
        <v>El peñol, Guatapé</v>
      </c>
      <c r="B274" t="str">
        <f t="shared" ref="B274:B314" si="14">+B273</f>
        <v>Marina Navegar- El peñol, Guatape</v>
      </c>
      <c r="C274" s="36">
        <v>8</v>
      </c>
      <c r="D274">
        <v>1</v>
      </c>
      <c r="E274" s="15">
        <v>305882</v>
      </c>
      <c r="F274" s="15">
        <v>305882</v>
      </c>
      <c r="G274" s="14">
        <v>45749</v>
      </c>
    </row>
    <row r="275" spans="1:10" x14ac:dyDescent="0.3">
      <c r="A275" t="str">
        <f t="shared" si="13"/>
        <v>El peñol, Guatapé</v>
      </c>
      <c r="B275" t="str">
        <f t="shared" si="14"/>
        <v>Marina Navegar- El peñol, Guatape</v>
      </c>
      <c r="C275" s="36">
        <v>8</v>
      </c>
      <c r="D275">
        <v>4</v>
      </c>
      <c r="E275" s="15">
        <v>255734.75</v>
      </c>
      <c r="F275" s="15">
        <v>1022939</v>
      </c>
      <c r="G275" s="14">
        <v>45750</v>
      </c>
    </row>
    <row r="276" spans="1:10" x14ac:dyDescent="0.3">
      <c r="A276" t="str">
        <f t="shared" si="13"/>
        <v>El peñol, Guatapé</v>
      </c>
      <c r="B276" t="str">
        <f t="shared" si="14"/>
        <v>Marina Navegar- El peñol, Guatape</v>
      </c>
      <c r="C276" s="36">
        <v>8</v>
      </c>
      <c r="D276">
        <v>4</v>
      </c>
      <c r="E276" s="15">
        <v>218867.25</v>
      </c>
      <c r="F276" s="15">
        <v>875469</v>
      </c>
      <c r="G276" s="14">
        <v>45751</v>
      </c>
    </row>
    <row r="277" spans="1:10" x14ac:dyDescent="0.3">
      <c r="A277" t="str">
        <f t="shared" si="13"/>
        <v>El peñol, Guatapé</v>
      </c>
      <c r="B277" t="str">
        <f t="shared" si="14"/>
        <v>Marina Navegar- El peñol, Guatape</v>
      </c>
      <c r="C277" s="36">
        <v>8</v>
      </c>
      <c r="D277">
        <v>5</v>
      </c>
      <c r="E277" s="15">
        <v>297026.40000000002</v>
      </c>
      <c r="F277" s="15">
        <v>1485132</v>
      </c>
      <c r="G277" s="14">
        <v>45752</v>
      </c>
    </row>
    <row r="278" spans="1:10" x14ac:dyDescent="0.3">
      <c r="A278" t="str">
        <f t="shared" si="13"/>
        <v>El peñol, Guatapé</v>
      </c>
      <c r="B278" t="str">
        <f t="shared" si="14"/>
        <v>Marina Navegar- El peñol, Guatape</v>
      </c>
      <c r="C278" s="36">
        <v>8</v>
      </c>
      <c r="D278">
        <v>4</v>
      </c>
      <c r="E278" s="15">
        <v>245485</v>
      </c>
      <c r="F278" s="15">
        <v>981940</v>
      </c>
      <c r="G278" s="14">
        <v>45753</v>
      </c>
    </row>
    <row r="279" spans="1:10" x14ac:dyDescent="0.3">
      <c r="A279" t="str">
        <f t="shared" si="13"/>
        <v>El peñol, Guatapé</v>
      </c>
      <c r="B279" t="str">
        <f t="shared" si="14"/>
        <v>Marina Navegar- El peñol, Guatape</v>
      </c>
      <c r="C279" s="36">
        <v>8</v>
      </c>
      <c r="D279">
        <v>1</v>
      </c>
      <c r="E279" s="15">
        <v>235294</v>
      </c>
      <c r="F279" s="15">
        <v>235294</v>
      </c>
      <c r="G279" s="14">
        <v>45754</v>
      </c>
      <c r="J279" s="25"/>
    </row>
    <row r="280" spans="1:10" x14ac:dyDescent="0.3">
      <c r="A280" t="str">
        <f t="shared" si="13"/>
        <v>El peñol, Guatapé</v>
      </c>
      <c r="B280" t="str">
        <f t="shared" si="14"/>
        <v>Marina Navegar- El peñol, Guatape</v>
      </c>
      <c r="C280" s="36">
        <v>8</v>
      </c>
      <c r="D280">
        <v>4</v>
      </c>
      <c r="E280" s="15">
        <v>200844.25</v>
      </c>
      <c r="F280" s="15">
        <v>803377</v>
      </c>
      <c r="G280" s="14">
        <v>45755</v>
      </c>
      <c r="J280" s="26"/>
    </row>
    <row r="281" spans="1:10" x14ac:dyDescent="0.3">
      <c r="A281" t="str">
        <f t="shared" si="13"/>
        <v>El peñol, Guatapé</v>
      </c>
      <c r="B281" t="str">
        <f t="shared" si="14"/>
        <v>Marina Navegar- El peñol, Guatape</v>
      </c>
      <c r="C281" s="36">
        <v>8</v>
      </c>
      <c r="D281">
        <v>2</v>
      </c>
      <c r="E281" s="15">
        <v>227235</v>
      </c>
      <c r="F281" s="15">
        <v>454470</v>
      </c>
      <c r="G281" s="14">
        <v>45756</v>
      </c>
      <c r="J281" s="25"/>
    </row>
    <row r="282" spans="1:10" x14ac:dyDescent="0.3">
      <c r="A282" t="str">
        <f t="shared" si="13"/>
        <v>El peñol, Guatapé</v>
      </c>
      <c r="B282" t="str">
        <f t="shared" si="14"/>
        <v>Marina Navegar- El peñol, Guatape</v>
      </c>
      <c r="C282" s="36">
        <v>8</v>
      </c>
      <c r="D282">
        <v>5</v>
      </c>
      <c r="E282" s="15">
        <v>224431.6</v>
      </c>
      <c r="F282" s="15">
        <v>1122158</v>
      </c>
      <c r="G282" s="14">
        <v>45757</v>
      </c>
      <c r="J282" s="26"/>
    </row>
    <row r="283" spans="1:10" x14ac:dyDescent="0.3">
      <c r="A283" t="str">
        <f t="shared" si="13"/>
        <v>El peñol, Guatapé</v>
      </c>
      <c r="B283" t="str">
        <f t="shared" si="14"/>
        <v>Marina Navegar- El peñol, Guatape</v>
      </c>
      <c r="C283" s="36">
        <v>8</v>
      </c>
      <c r="D283">
        <v>6</v>
      </c>
      <c r="E283" s="15">
        <v>228468.5</v>
      </c>
      <c r="F283" s="15">
        <v>1370811</v>
      </c>
      <c r="G283" s="14">
        <v>45758</v>
      </c>
      <c r="J283" s="25"/>
    </row>
    <row r="284" spans="1:10" x14ac:dyDescent="0.3">
      <c r="A284" t="str">
        <f t="shared" si="13"/>
        <v>El peñol, Guatapé</v>
      </c>
      <c r="B284" t="str">
        <f t="shared" si="14"/>
        <v>Marina Navegar- El peñol, Guatape</v>
      </c>
      <c r="C284" s="36">
        <v>8</v>
      </c>
      <c r="D284">
        <v>7</v>
      </c>
      <c r="E284" s="15">
        <v>279948.86</v>
      </c>
      <c r="F284" s="15">
        <v>1959642</v>
      </c>
      <c r="G284" s="14">
        <v>45759</v>
      </c>
      <c r="J284" s="26"/>
    </row>
    <row r="285" spans="1:10" x14ac:dyDescent="0.3">
      <c r="A285" t="str">
        <f t="shared" si="13"/>
        <v>El peñol, Guatapé</v>
      </c>
      <c r="B285" t="str">
        <f t="shared" si="14"/>
        <v>Marina Navegar- El peñol, Guatape</v>
      </c>
      <c r="C285" s="36">
        <v>8</v>
      </c>
      <c r="D285">
        <v>5</v>
      </c>
      <c r="E285" s="15">
        <v>352502.6</v>
      </c>
      <c r="F285" s="15">
        <v>1762513</v>
      </c>
      <c r="G285" s="14">
        <v>45760</v>
      </c>
      <c r="J285" s="25"/>
    </row>
    <row r="286" spans="1:10" x14ac:dyDescent="0.3">
      <c r="A286" t="str">
        <f t="shared" si="13"/>
        <v>El peñol, Guatapé</v>
      </c>
      <c r="B286" t="str">
        <f t="shared" si="14"/>
        <v>Marina Navegar- El peñol, Guatape</v>
      </c>
      <c r="C286" s="36">
        <v>8</v>
      </c>
      <c r="D286">
        <v>7</v>
      </c>
      <c r="E286" s="15">
        <v>228730.29</v>
      </c>
      <c r="F286" s="15">
        <v>1601112</v>
      </c>
      <c r="G286" s="14">
        <v>45761</v>
      </c>
      <c r="J286" s="26"/>
    </row>
    <row r="287" spans="1:10" x14ac:dyDescent="0.3">
      <c r="A287" t="str">
        <f t="shared" si="13"/>
        <v>El peñol, Guatapé</v>
      </c>
      <c r="B287" t="str">
        <f t="shared" si="14"/>
        <v>Marina Navegar- El peñol, Guatape</v>
      </c>
      <c r="C287" s="36">
        <v>8</v>
      </c>
      <c r="D287">
        <v>6</v>
      </c>
      <c r="E287" s="15">
        <v>244212.17</v>
      </c>
      <c r="F287" s="15">
        <v>1465273</v>
      </c>
      <c r="G287" s="14">
        <v>45762</v>
      </c>
      <c r="J287" s="25"/>
    </row>
    <row r="288" spans="1:10" x14ac:dyDescent="0.3">
      <c r="A288" t="str">
        <f t="shared" si="13"/>
        <v>El peñol, Guatapé</v>
      </c>
      <c r="B288" t="str">
        <f t="shared" si="14"/>
        <v>Marina Navegar- El peñol, Guatape</v>
      </c>
      <c r="C288" s="36">
        <v>8</v>
      </c>
      <c r="D288">
        <v>7</v>
      </c>
      <c r="E288" s="15">
        <v>260838.29</v>
      </c>
      <c r="F288" s="15">
        <v>1825868</v>
      </c>
      <c r="G288" s="14">
        <v>45763</v>
      </c>
      <c r="J288" s="26"/>
    </row>
    <row r="289" spans="1:10" x14ac:dyDescent="0.3">
      <c r="A289" t="str">
        <f t="shared" si="13"/>
        <v>El peñol, Guatapé</v>
      </c>
      <c r="B289" t="str">
        <f t="shared" si="14"/>
        <v>Marina Navegar- El peñol, Guatape</v>
      </c>
      <c r="C289" s="36">
        <v>8</v>
      </c>
      <c r="D289">
        <v>8</v>
      </c>
      <c r="E289" s="15">
        <v>327072.13</v>
      </c>
      <c r="F289" s="15">
        <v>2616577</v>
      </c>
      <c r="G289" s="14">
        <v>45764</v>
      </c>
      <c r="J289" s="25"/>
    </row>
    <row r="290" spans="1:10" x14ac:dyDescent="0.3">
      <c r="A290" t="str">
        <f t="shared" si="13"/>
        <v>El peñol, Guatapé</v>
      </c>
      <c r="B290" t="str">
        <f t="shared" si="14"/>
        <v>Marina Navegar- El peñol, Guatape</v>
      </c>
      <c r="C290" s="36">
        <v>8</v>
      </c>
      <c r="D290">
        <v>8</v>
      </c>
      <c r="E290" s="15">
        <v>363972.13</v>
      </c>
      <c r="F290" s="15">
        <v>2911777</v>
      </c>
      <c r="G290" s="14">
        <v>45765</v>
      </c>
      <c r="J290" s="26"/>
    </row>
    <row r="291" spans="1:10" x14ac:dyDescent="0.3">
      <c r="A291" t="str">
        <f t="shared" si="13"/>
        <v>El peñol, Guatapé</v>
      </c>
      <c r="B291" t="str">
        <f t="shared" si="14"/>
        <v>Marina Navegar- El peñol, Guatape</v>
      </c>
      <c r="C291" s="36">
        <v>8</v>
      </c>
      <c r="D291">
        <v>8</v>
      </c>
      <c r="E291" s="15">
        <v>355105.5</v>
      </c>
      <c r="F291" s="15">
        <v>2840844</v>
      </c>
      <c r="G291" s="14">
        <v>45766</v>
      </c>
      <c r="J291" s="25"/>
    </row>
    <row r="292" spans="1:10" x14ac:dyDescent="0.3">
      <c r="A292" t="str">
        <f t="shared" si="13"/>
        <v>El peñol, Guatapé</v>
      </c>
      <c r="B292" t="str">
        <f t="shared" si="14"/>
        <v>Marina Navegar- El peñol, Guatape</v>
      </c>
      <c r="C292" s="36">
        <v>8</v>
      </c>
      <c r="D292">
        <v>4</v>
      </c>
      <c r="E292" s="15">
        <v>216303.5</v>
      </c>
      <c r="F292" s="15">
        <v>865214</v>
      </c>
      <c r="G292" s="14">
        <v>45767</v>
      </c>
      <c r="J292" s="26"/>
    </row>
    <row r="293" spans="1:10" x14ac:dyDescent="0.3">
      <c r="A293" t="str">
        <f t="shared" si="13"/>
        <v>El peñol, Guatapé</v>
      </c>
      <c r="B293" t="str">
        <f t="shared" si="14"/>
        <v>Marina Navegar- El peñol, Guatape</v>
      </c>
      <c r="C293" s="36">
        <v>8</v>
      </c>
      <c r="D293">
        <v>5</v>
      </c>
      <c r="E293" s="15">
        <v>185881</v>
      </c>
      <c r="F293" s="15">
        <v>929405</v>
      </c>
      <c r="G293" s="14">
        <v>45768</v>
      </c>
      <c r="J293" s="25"/>
    </row>
    <row r="294" spans="1:10" x14ac:dyDescent="0.3">
      <c r="A294" t="str">
        <f t="shared" si="13"/>
        <v>El peñol, Guatapé</v>
      </c>
      <c r="B294" t="str">
        <f t="shared" si="14"/>
        <v>Marina Navegar- El peñol, Guatape</v>
      </c>
      <c r="C294" s="36">
        <v>8</v>
      </c>
      <c r="D294">
        <v>3</v>
      </c>
      <c r="E294" s="15">
        <v>194052.33</v>
      </c>
      <c r="F294" s="15">
        <v>582157</v>
      </c>
      <c r="G294" s="14">
        <v>45769</v>
      </c>
      <c r="J294" s="26"/>
    </row>
    <row r="295" spans="1:10" x14ac:dyDescent="0.3">
      <c r="A295" t="str">
        <f t="shared" si="13"/>
        <v>El peñol, Guatapé</v>
      </c>
      <c r="B295" t="str">
        <f t="shared" si="14"/>
        <v>Marina Navegar- El peñol, Guatape</v>
      </c>
      <c r="C295" s="36">
        <v>8</v>
      </c>
      <c r="D295">
        <v>2</v>
      </c>
      <c r="E295" s="15">
        <v>171932</v>
      </c>
      <c r="F295" s="15">
        <v>343864</v>
      </c>
      <c r="G295" s="14">
        <v>45770</v>
      </c>
      <c r="J295" s="25"/>
    </row>
    <row r="296" spans="1:10" x14ac:dyDescent="0.3">
      <c r="A296" t="str">
        <f t="shared" si="13"/>
        <v>El peñol, Guatapé</v>
      </c>
      <c r="B296" t="str">
        <f t="shared" si="14"/>
        <v>Marina Navegar- El peñol, Guatape</v>
      </c>
      <c r="C296" s="36">
        <v>8</v>
      </c>
      <c r="D296">
        <v>4</v>
      </c>
      <c r="E296" s="15">
        <v>231936.75</v>
      </c>
      <c r="F296" s="15">
        <v>927747</v>
      </c>
      <c r="G296" s="14">
        <v>45771</v>
      </c>
      <c r="J296" s="26"/>
    </row>
    <row r="297" spans="1:10" x14ac:dyDescent="0.3">
      <c r="A297" t="str">
        <f t="shared" si="13"/>
        <v>El peñol, Guatapé</v>
      </c>
      <c r="B297" t="str">
        <f t="shared" si="14"/>
        <v>Marina Navegar- El peñol, Guatape</v>
      </c>
      <c r="C297" s="36">
        <v>8</v>
      </c>
      <c r="D297">
        <v>6</v>
      </c>
      <c r="E297" s="15">
        <v>235980.5</v>
      </c>
      <c r="F297" s="15">
        <v>1415883</v>
      </c>
      <c r="G297" s="14">
        <v>45772</v>
      </c>
      <c r="J297" s="25"/>
    </row>
    <row r="298" spans="1:10" x14ac:dyDescent="0.3">
      <c r="A298" t="str">
        <f t="shared" si="13"/>
        <v>El peñol, Guatapé</v>
      </c>
      <c r="B298" t="str">
        <f t="shared" si="14"/>
        <v>Marina Navegar- El peñol, Guatape</v>
      </c>
      <c r="C298" s="36">
        <v>8</v>
      </c>
      <c r="D298">
        <v>8</v>
      </c>
      <c r="E298" s="15">
        <v>310360.5</v>
      </c>
      <c r="F298" s="15">
        <v>2482884</v>
      </c>
      <c r="G298" s="14">
        <v>45773</v>
      </c>
      <c r="J298" s="26"/>
    </row>
    <row r="299" spans="1:10" x14ac:dyDescent="0.3">
      <c r="A299" t="str">
        <f t="shared" si="13"/>
        <v>El peñol, Guatapé</v>
      </c>
      <c r="B299" t="str">
        <f t="shared" si="14"/>
        <v>Marina Navegar- El peñol, Guatape</v>
      </c>
      <c r="C299" s="36">
        <v>8</v>
      </c>
      <c r="D299">
        <v>7</v>
      </c>
      <c r="E299" s="15">
        <v>206996.14</v>
      </c>
      <c r="F299" s="15">
        <v>1448973</v>
      </c>
      <c r="G299" s="14">
        <v>45774</v>
      </c>
      <c r="J299" s="25"/>
    </row>
    <row r="300" spans="1:10" x14ac:dyDescent="0.3">
      <c r="A300" t="str">
        <f t="shared" si="13"/>
        <v>El peñol, Guatapé</v>
      </c>
      <c r="B300" t="str">
        <f t="shared" si="14"/>
        <v>Marina Navegar- El peñol, Guatape</v>
      </c>
      <c r="C300" s="36">
        <v>8</v>
      </c>
      <c r="D300">
        <v>7</v>
      </c>
      <c r="E300" s="15">
        <v>184542.86</v>
      </c>
      <c r="F300" s="15">
        <v>1291800</v>
      </c>
      <c r="G300" s="14">
        <v>45775</v>
      </c>
      <c r="J300" s="26"/>
    </row>
    <row r="301" spans="1:10" x14ac:dyDescent="0.3">
      <c r="A301" t="str">
        <f t="shared" si="13"/>
        <v>El peñol, Guatapé</v>
      </c>
      <c r="B301" t="str">
        <f t="shared" si="14"/>
        <v>Marina Navegar- El peñol, Guatape</v>
      </c>
      <c r="C301" s="36">
        <v>8</v>
      </c>
      <c r="D301">
        <v>3</v>
      </c>
      <c r="E301" s="15">
        <v>208801.67</v>
      </c>
      <c r="F301" s="15">
        <v>626405</v>
      </c>
      <c r="G301" s="14">
        <v>45776</v>
      </c>
      <c r="J301" s="25"/>
    </row>
    <row r="302" spans="1:10" x14ac:dyDescent="0.3">
      <c r="A302" t="str">
        <f t="shared" si="13"/>
        <v>El peñol, Guatapé</v>
      </c>
      <c r="B302" t="str">
        <f t="shared" si="14"/>
        <v>Marina Navegar- El peñol, Guatape</v>
      </c>
      <c r="C302" s="36">
        <v>8</v>
      </c>
      <c r="D302">
        <v>4</v>
      </c>
      <c r="E302" s="15">
        <v>281120</v>
      </c>
      <c r="F302" s="15">
        <v>1124480</v>
      </c>
      <c r="G302" s="14">
        <v>45777</v>
      </c>
      <c r="J302" s="26"/>
    </row>
    <row r="303" spans="1:10" x14ac:dyDescent="0.3">
      <c r="A303" t="str">
        <f t="shared" si="13"/>
        <v>El peñol, Guatapé</v>
      </c>
      <c r="B303" t="str">
        <f t="shared" si="14"/>
        <v>Marina Navegar- El peñol, Guatape</v>
      </c>
      <c r="C303" s="36"/>
      <c r="D303" s="16"/>
      <c r="G303" s="14">
        <v>45778</v>
      </c>
      <c r="J303" s="25"/>
    </row>
    <row r="304" spans="1:10" x14ac:dyDescent="0.3">
      <c r="A304" t="str">
        <f t="shared" si="13"/>
        <v>El peñol, Guatapé</v>
      </c>
      <c r="B304" t="str">
        <f t="shared" si="14"/>
        <v>Marina Navegar- El peñol, Guatape</v>
      </c>
      <c r="G304" s="14">
        <v>45779</v>
      </c>
      <c r="J304" s="26"/>
    </row>
    <row r="305" spans="1:10" x14ac:dyDescent="0.3">
      <c r="A305" t="str">
        <f t="shared" si="13"/>
        <v>El peñol, Guatapé</v>
      </c>
      <c r="B305" t="str">
        <f t="shared" si="14"/>
        <v>Marina Navegar- El peñol, Guatape</v>
      </c>
      <c r="G305" s="14">
        <v>45780</v>
      </c>
      <c r="J305" s="25"/>
    </row>
    <row r="306" spans="1:10" x14ac:dyDescent="0.3">
      <c r="A306" t="str">
        <f t="shared" si="13"/>
        <v>El peñol, Guatapé</v>
      </c>
      <c r="B306" t="str">
        <f t="shared" si="14"/>
        <v>Marina Navegar- El peñol, Guatape</v>
      </c>
      <c r="G306" s="14">
        <v>45781</v>
      </c>
      <c r="J306" s="26"/>
    </row>
    <row r="307" spans="1:10" x14ac:dyDescent="0.3">
      <c r="A307" t="str">
        <f t="shared" si="13"/>
        <v>El peñol, Guatapé</v>
      </c>
      <c r="B307" t="str">
        <f t="shared" si="14"/>
        <v>Marina Navegar- El peñol, Guatape</v>
      </c>
      <c r="G307" s="14">
        <v>45782</v>
      </c>
      <c r="J307" s="25"/>
    </row>
    <row r="308" spans="1:10" x14ac:dyDescent="0.3">
      <c r="A308" t="str">
        <f t="shared" si="13"/>
        <v>El peñol, Guatapé</v>
      </c>
      <c r="B308" t="str">
        <f t="shared" si="14"/>
        <v>Marina Navegar- El peñol, Guatape</v>
      </c>
      <c r="G308" s="14">
        <v>45783</v>
      </c>
      <c r="J308" s="26"/>
    </row>
    <row r="309" spans="1:10" x14ac:dyDescent="0.3">
      <c r="A309" t="str">
        <f t="shared" si="13"/>
        <v>El peñol, Guatapé</v>
      </c>
      <c r="B309" t="str">
        <f t="shared" si="14"/>
        <v>Marina Navegar- El peñol, Guatape</v>
      </c>
      <c r="G309" s="14">
        <v>45784</v>
      </c>
    </row>
    <row r="310" spans="1:10" x14ac:dyDescent="0.3">
      <c r="A310" t="str">
        <f t="shared" si="13"/>
        <v>El peñol, Guatapé</v>
      </c>
      <c r="B310" t="str">
        <f t="shared" si="14"/>
        <v>Marina Navegar- El peñol, Guatape</v>
      </c>
      <c r="G310" s="14">
        <v>45785</v>
      </c>
    </row>
    <row r="311" spans="1:10" x14ac:dyDescent="0.3">
      <c r="A311" t="str">
        <f t="shared" si="13"/>
        <v>El peñol, Guatapé</v>
      </c>
      <c r="B311" t="str">
        <f t="shared" si="14"/>
        <v>Marina Navegar- El peñol, Guatape</v>
      </c>
      <c r="G311" s="14">
        <v>45786</v>
      </c>
    </row>
    <row r="312" spans="1:10" x14ac:dyDescent="0.3">
      <c r="A312" t="str">
        <f t="shared" si="13"/>
        <v>El peñol, Guatapé</v>
      </c>
      <c r="B312" t="str">
        <f t="shared" si="14"/>
        <v>Marina Navegar- El peñol, Guatape</v>
      </c>
      <c r="G312" s="14">
        <v>45787</v>
      </c>
    </row>
    <row r="313" spans="1:10" x14ac:dyDescent="0.3">
      <c r="A313" t="str">
        <f t="shared" si="13"/>
        <v>El peñol, Guatapé</v>
      </c>
      <c r="B313" t="str">
        <f t="shared" si="14"/>
        <v>Marina Navegar- El peñol, Guatape</v>
      </c>
      <c r="G313" s="14">
        <v>45788</v>
      </c>
    </row>
    <row r="314" spans="1:10" x14ac:dyDescent="0.3">
      <c r="A314" t="str">
        <f t="shared" si="13"/>
        <v>El peñol, Guatapé</v>
      </c>
      <c r="B314" t="str">
        <f t="shared" si="14"/>
        <v>Marina Navegar- El peñol, Guatape</v>
      </c>
      <c r="G314" s="14">
        <v>45789</v>
      </c>
    </row>
    <row r="315" spans="1:10" hidden="1" x14ac:dyDescent="0.3">
      <c r="A315" t="s">
        <v>8</v>
      </c>
      <c r="B315" t="s">
        <v>18</v>
      </c>
      <c r="G315" s="14">
        <v>45748</v>
      </c>
    </row>
    <row r="316" spans="1:10" hidden="1" x14ac:dyDescent="0.3">
      <c r="A316" t="str">
        <f>+A315</f>
        <v>EL PEÑOL, GUATAPÉ</v>
      </c>
      <c r="B316" t="str">
        <f>+B315</f>
        <v>Hotel Omaga El peñol- Guatape</v>
      </c>
      <c r="G316" s="14">
        <v>45749</v>
      </c>
    </row>
    <row r="317" spans="1:10" hidden="1" x14ac:dyDescent="0.3">
      <c r="A317" t="str">
        <f t="shared" ref="A317:A356" si="15">+A316</f>
        <v>EL PEÑOL, GUATAPÉ</v>
      </c>
      <c r="B317" t="str">
        <f t="shared" ref="B317:B356" si="16">+B316</f>
        <v>Hotel Omaga El peñol- Guatape</v>
      </c>
      <c r="G317" s="14">
        <v>45750</v>
      </c>
    </row>
    <row r="318" spans="1:10" hidden="1" x14ac:dyDescent="0.3">
      <c r="A318" t="str">
        <f t="shared" si="15"/>
        <v>EL PEÑOL, GUATAPÉ</v>
      </c>
      <c r="B318" t="str">
        <f t="shared" si="16"/>
        <v>Hotel Omaga El peñol- Guatape</v>
      </c>
      <c r="G318" s="14">
        <v>45751</v>
      </c>
    </row>
    <row r="319" spans="1:10" hidden="1" x14ac:dyDescent="0.3">
      <c r="A319" t="str">
        <f t="shared" si="15"/>
        <v>EL PEÑOL, GUATAPÉ</v>
      </c>
      <c r="B319" t="str">
        <f t="shared" si="16"/>
        <v>Hotel Omaga El peñol- Guatape</v>
      </c>
      <c r="G319" s="14">
        <v>45752</v>
      </c>
    </row>
    <row r="320" spans="1:10" hidden="1" x14ac:dyDescent="0.3">
      <c r="A320" t="str">
        <f t="shared" si="15"/>
        <v>EL PEÑOL, GUATAPÉ</v>
      </c>
      <c r="B320" t="str">
        <f t="shared" si="16"/>
        <v>Hotel Omaga El peñol- Guatape</v>
      </c>
      <c r="G320" s="14">
        <v>45753</v>
      </c>
    </row>
    <row r="321" spans="1:7" hidden="1" x14ac:dyDescent="0.3">
      <c r="A321" t="str">
        <f t="shared" si="15"/>
        <v>EL PEÑOL, GUATAPÉ</v>
      </c>
      <c r="B321" t="str">
        <f t="shared" si="16"/>
        <v>Hotel Omaga El peñol- Guatape</v>
      </c>
      <c r="G321" s="14">
        <v>45754</v>
      </c>
    </row>
    <row r="322" spans="1:7" hidden="1" x14ac:dyDescent="0.3">
      <c r="A322" t="str">
        <f t="shared" si="15"/>
        <v>EL PEÑOL, GUATAPÉ</v>
      </c>
      <c r="B322" t="str">
        <f t="shared" si="16"/>
        <v>Hotel Omaga El peñol- Guatape</v>
      </c>
      <c r="G322" s="14">
        <v>45755</v>
      </c>
    </row>
    <row r="323" spans="1:7" hidden="1" x14ac:dyDescent="0.3">
      <c r="A323" t="str">
        <f t="shared" si="15"/>
        <v>EL PEÑOL, GUATAPÉ</v>
      </c>
      <c r="B323" t="str">
        <f t="shared" si="16"/>
        <v>Hotel Omaga El peñol- Guatape</v>
      </c>
      <c r="G323" s="14">
        <v>45756</v>
      </c>
    </row>
    <row r="324" spans="1:7" hidden="1" x14ac:dyDescent="0.3">
      <c r="A324" t="str">
        <f t="shared" si="15"/>
        <v>EL PEÑOL, GUATAPÉ</v>
      </c>
      <c r="B324" t="str">
        <f t="shared" si="16"/>
        <v>Hotel Omaga El peñol- Guatape</v>
      </c>
      <c r="G324" s="14">
        <v>45757</v>
      </c>
    </row>
    <row r="325" spans="1:7" hidden="1" x14ac:dyDescent="0.3">
      <c r="A325" t="str">
        <f t="shared" si="15"/>
        <v>EL PEÑOL, GUATAPÉ</v>
      </c>
      <c r="B325" t="str">
        <f t="shared" si="16"/>
        <v>Hotel Omaga El peñol- Guatape</v>
      </c>
      <c r="G325" s="14">
        <v>45758</v>
      </c>
    </row>
    <row r="326" spans="1:7" hidden="1" x14ac:dyDescent="0.3">
      <c r="A326" t="str">
        <f t="shared" si="15"/>
        <v>EL PEÑOL, GUATAPÉ</v>
      </c>
      <c r="B326" t="str">
        <f t="shared" si="16"/>
        <v>Hotel Omaga El peñol- Guatape</v>
      </c>
      <c r="G326" s="14">
        <v>45759</v>
      </c>
    </row>
    <row r="327" spans="1:7" hidden="1" x14ac:dyDescent="0.3">
      <c r="A327" t="str">
        <f t="shared" si="15"/>
        <v>EL PEÑOL, GUATAPÉ</v>
      </c>
      <c r="B327" t="str">
        <f t="shared" si="16"/>
        <v>Hotel Omaga El peñol- Guatape</v>
      </c>
      <c r="G327" s="14">
        <v>45760</v>
      </c>
    </row>
    <row r="328" spans="1:7" hidden="1" x14ac:dyDescent="0.3">
      <c r="A328" t="str">
        <f t="shared" si="15"/>
        <v>EL PEÑOL, GUATAPÉ</v>
      </c>
      <c r="B328" t="str">
        <f t="shared" si="16"/>
        <v>Hotel Omaga El peñol- Guatape</v>
      </c>
      <c r="G328" s="14">
        <v>45761</v>
      </c>
    </row>
    <row r="329" spans="1:7" hidden="1" x14ac:dyDescent="0.3">
      <c r="A329" t="str">
        <f t="shared" si="15"/>
        <v>EL PEÑOL, GUATAPÉ</v>
      </c>
      <c r="B329" t="str">
        <f t="shared" si="16"/>
        <v>Hotel Omaga El peñol- Guatape</v>
      </c>
      <c r="G329" s="14">
        <v>45762</v>
      </c>
    </row>
    <row r="330" spans="1:7" hidden="1" x14ac:dyDescent="0.3">
      <c r="A330" t="str">
        <f t="shared" si="15"/>
        <v>EL PEÑOL, GUATAPÉ</v>
      </c>
      <c r="B330" t="str">
        <f t="shared" si="16"/>
        <v>Hotel Omaga El peñol- Guatape</v>
      </c>
      <c r="G330" s="14">
        <v>45763</v>
      </c>
    </row>
    <row r="331" spans="1:7" hidden="1" x14ac:dyDescent="0.3">
      <c r="A331" t="str">
        <f t="shared" si="15"/>
        <v>EL PEÑOL, GUATAPÉ</v>
      </c>
      <c r="B331" t="str">
        <f t="shared" si="16"/>
        <v>Hotel Omaga El peñol- Guatape</v>
      </c>
      <c r="G331" s="14">
        <v>45764</v>
      </c>
    </row>
    <row r="332" spans="1:7" hidden="1" x14ac:dyDescent="0.3">
      <c r="A332" t="str">
        <f t="shared" si="15"/>
        <v>EL PEÑOL, GUATAPÉ</v>
      </c>
      <c r="B332" t="str">
        <f t="shared" si="16"/>
        <v>Hotel Omaga El peñol- Guatape</v>
      </c>
      <c r="G332" s="14">
        <v>45765</v>
      </c>
    </row>
    <row r="333" spans="1:7" hidden="1" x14ac:dyDescent="0.3">
      <c r="A333" t="str">
        <f t="shared" si="15"/>
        <v>EL PEÑOL, GUATAPÉ</v>
      </c>
      <c r="B333" t="str">
        <f t="shared" si="16"/>
        <v>Hotel Omaga El peñol- Guatape</v>
      </c>
      <c r="G333" s="14">
        <v>45766</v>
      </c>
    </row>
    <row r="334" spans="1:7" hidden="1" x14ac:dyDescent="0.3">
      <c r="A334" t="str">
        <f t="shared" si="15"/>
        <v>EL PEÑOL, GUATAPÉ</v>
      </c>
      <c r="B334" t="str">
        <f t="shared" si="16"/>
        <v>Hotel Omaga El peñol- Guatape</v>
      </c>
      <c r="G334" s="14">
        <v>45767</v>
      </c>
    </row>
    <row r="335" spans="1:7" hidden="1" x14ac:dyDescent="0.3">
      <c r="A335" t="str">
        <f t="shared" si="15"/>
        <v>EL PEÑOL, GUATAPÉ</v>
      </c>
      <c r="B335" t="str">
        <f t="shared" si="16"/>
        <v>Hotel Omaga El peñol- Guatape</v>
      </c>
      <c r="G335" s="14">
        <v>45768</v>
      </c>
    </row>
    <row r="336" spans="1:7" hidden="1" x14ac:dyDescent="0.3">
      <c r="A336" t="str">
        <f t="shared" si="15"/>
        <v>EL PEÑOL, GUATAPÉ</v>
      </c>
      <c r="B336" t="str">
        <f t="shared" si="16"/>
        <v>Hotel Omaga El peñol- Guatape</v>
      </c>
      <c r="G336" s="14">
        <v>45769</v>
      </c>
    </row>
    <row r="337" spans="1:7" hidden="1" x14ac:dyDescent="0.3">
      <c r="A337" t="str">
        <f t="shared" si="15"/>
        <v>EL PEÑOL, GUATAPÉ</v>
      </c>
      <c r="B337" t="str">
        <f t="shared" si="16"/>
        <v>Hotel Omaga El peñol- Guatape</v>
      </c>
      <c r="G337" s="14">
        <v>45770</v>
      </c>
    </row>
    <row r="338" spans="1:7" hidden="1" x14ac:dyDescent="0.3">
      <c r="A338" t="str">
        <f t="shared" si="15"/>
        <v>EL PEÑOL, GUATAPÉ</v>
      </c>
      <c r="B338" t="str">
        <f t="shared" si="16"/>
        <v>Hotel Omaga El peñol- Guatape</v>
      </c>
      <c r="G338" s="14">
        <v>45771</v>
      </c>
    </row>
    <row r="339" spans="1:7" hidden="1" x14ac:dyDescent="0.3">
      <c r="A339" t="str">
        <f t="shared" si="15"/>
        <v>EL PEÑOL, GUATAPÉ</v>
      </c>
      <c r="B339" t="str">
        <f t="shared" si="16"/>
        <v>Hotel Omaga El peñol- Guatape</v>
      </c>
      <c r="G339" s="14">
        <v>45772</v>
      </c>
    </row>
    <row r="340" spans="1:7" hidden="1" x14ac:dyDescent="0.3">
      <c r="A340" t="str">
        <f t="shared" si="15"/>
        <v>EL PEÑOL, GUATAPÉ</v>
      </c>
      <c r="B340" t="str">
        <f t="shared" si="16"/>
        <v>Hotel Omaga El peñol- Guatape</v>
      </c>
      <c r="G340" s="14">
        <v>45773</v>
      </c>
    </row>
    <row r="341" spans="1:7" hidden="1" x14ac:dyDescent="0.3">
      <c r="A341" t="str">
        <f t="shared" si="15"/>
        <v>EL PEÑOL, GUATAPÉ</v>
      </c>
      <c r="B341" t="str">
        <f t="shared" si="16"/>
        <v>Hotel Omaga El peñol- Guatape</v>
      </c>
      <c r="G341" s="14">
        <v>45774</v>
      </c>
    </row>
    <row r="342" spans="1:7" hidden="1" x14ac:dyDescent="0.3">
      <c r="A342" t="str">
        <f t="shared" si="15"/>
        <v>EL PEÑOL, GUATAPÉ</v>
      </c>
      <c r="B342" t="str">
        <f t="shared" si="16"/>
        <v>Hotel Omaga El peñol- Guatape</v>
      </c>
      <c r="G342" s="14">
        <v>45775</v>
      </c>
    </row>
    <row r="343" spans="1:7" hidden="1" x14ac:dyDescent="0.3">
      <c r="A343" t="str">
        <f t="shared" si="15"/>
        <v>EL PEÑOL, GUATAPÉ</v>
      </c>
      <c r="B343" t="str">
        <f t="shared" si="16"/>
        <v>Hotel Omaga El peñol- Guatape</v>
      </c>
      <c r="G343" s="14">
        <v>45776</v>
      </c>
    </row>
    <row r="344" spans="1:7" hidden="1" x14ac:dyDescent="0.3">
      <c r="A344" t="str">
        <f t="shared" si="15"/>
        <v>EL PEÑOL, GUATAPÉ</v>
      </c>
      <c r="B344" t="str">
        <f t="shared" si="16"/>
        <v>Hotel Omaga El peñol- Guatape</v>
      </c>
      <c r="G344" s="14">
        <v>45777</v>
      </c>
    </row>
    <row r="345" spans="1:7" hidden="1" x14ac:dyDescent="0.3">
      <c r="A345" t="str">
        <f t="shared" si="15"/>
        <v>EL PEÑOL, GUATAPÉ</v>
      </c>
      <c r="B345" t="str">
        <f t="shared" si="16"/>
        <v>Hotel Omaga El peñol- Guatape</v>
      </c>
      <c r="G345" s="14">
        <v>45915</v>
      </c>
    </row>
    <row r="346" spans="1:7" hidden="1" x14ac:dyDescent="0.3">
      <c r="A346" t="str">
        <f t="shared" si="15"/>
        <v>EL PEÑOL, GUATAPÉ</v>
      </c>
      <c r="B346" t="str">
        <f t="shared" si="16"/>
        <v>Hotel Omaga El peñol- Guatape</v>
      </c>
      <c r="G346" s="14">
        <v>45916</v>
      </c>
    </row>
    <row r="347" spans="1:7" hidden="1" x14ac:dyDescent="0.3">
      <c r="A347" t="str">
        <f t="shared" si="15"/>
        <v>EL PEÑOL, GUATAPÉ</v>
      </c>
      <c r="B347" t="str">
        <f t="shared" si="16"/>
        <v>Hotel Omaga El peñol- Guatape</v>
      </c>
      <c r="G347" s="14">
        <v>45917</v>
      </c>
    </row>
    <row r="348" spans="1:7" hidden="1" x14ac:dyDescent="0.3">
      <c r="A348" t="str">
        <f t="shared" si="15"/>
        <v>EL PEÑOL, GUATAPÉ</v>
      </c>
      <c r="B348" t="str">
        <f t="shared" si="16"/>
        <v>Hotel Omaga El peñol- Guatape</v>
      </c>
      <c r="G348" s="14">
        <v>45918</v>
      </c>
    </row>
    <row r="349" spans="1:7" hidden="1" x14ac:dyDescent="0.3">
      <c r="A349" t="str">
        <f t="shared" si="15"/>
        <v>EL PEÑOL, GUATAPÉ</v>
      </c>
      <c r="B349" t="str">
        <f t="shared" si="16"/>
        <v>Hotel Omaga El peñol- Guatape</v>
      </c>
      <c r="G349" s="14">
        <v>45919</v>
      </c>
    </row>
    <row r="350" spans="1:7" hidden="1" x14ac:dyDescent="0.3">
      <c r="A350" t="str">
        <f t="shared" si="15"/>
        <v>EL PEÑOL, GUATAPÉ</v>
      </c>
      <c r="B350" t="str">
        <f t="shared" si="16"/>
        <v>Hotel Omaga El peñol- Guatape</v>
      </c>
      <c r="G350" s="14">
        <v>45920</v>
      </c>
    </row>
    <row r="351" spans="1:7" hidden="1" x14ac:dyDescent="0.3">
      <c r="A351" t="str">
        <f t="shared" si="15"/>
        <v>EL PEÑOL, GUATAPÉ</v>
      </c>
      <c r="B351" t="str">
        <f t="shared" si="16"/>
        <v>Hotel Omaga El peñol- Guatape</v>
      </c>
      <c r="G351" s="14">
        <v>45921</v>
      </c>
    </row>
    <row r="352" spans="1:7" hidden="1" x14ac:dyDescent="0.3">
      <c r="A352" t="str">
        <f t="shared" si="15"/>
        <v>EL PEÑOL, GUATAPÉ</v>
      </c>
      <c r="B352" t="str">
        <f t="shared" si="16"/>
        <v>Hotel Omaga El peñol- Guatape</v>
      </c>
      <c r="G352" s="14">
        <v>45922</v>
      </c>
    </row>
    <row r="353" spans="1:7" hidden="1" x14ac:dyDescent="0.3">
      <c r="A353" t="str">
        <f t="shared" si="15"/>
        <v>EL PEÑOL, GUATAPÉ</v>
      </c>
      <c r="B353" t="str">
        <f t="shared" si="16"/>
        <v>Hotel Omaga El peñol- Guatape</v>
      </c>
      <c r="G353" s="14">
        <v>45923</v>
      </c>
    </row>
    <row r="354" spans="1:7" hidden="1" x14ac:dyDescent="0.3">
      <c r="A354" t="str">
        <f t="shared" si="15"/>
        <v>EL PEÑOL, GUATAPÉ</v>
      </c>
      <c r="B354" t="str">
        <f t="shared" si="16"/>
        <v>Hotel Omaga El peñol- Guatape</v>
      </c>
      <c r="G354" s="14">
        <v>45924</v>
      </c>
    </row>
    <row r="355" spans="1:7" hidden="1" x14ac:dyDescent="0.3">
      <c r="A355" t="str">
        <f t="shared" si="15"/>
        <v>EL PEÑOL, GUATAPÉ</v>
      </c>
      <c r="B355" t="str">
        <f t="shared" si="16"/>
        <v>Hotel Omaga El peñol- Guatape</v>
      </c>
      <c r="G355" s="14">
        <v>45925</v>
      </c>
    </row>
    <row r="356" spans="1:7" hidden="1" x14ac:dyDescent="0.3">
      <c r="A356" t="str">
        <f t="shared" si="15"/>
        <v>EL PEÑOL, GUATAPÉ</v>
      </c>
      <c r="B356" t="str">
        <f t="shared" si="16"/>
        <v>Hotel Omaga El peñol- Guatape</v>
      </c>
      <c r="G356" s="14">
        <v>45926</v>
      </c>
    </row>
    <row r="357" spans="1:7" hidden="1" x14ac:dyDescent="0.3">
      <c r="A357" t="s">
        <v>36</v>
      </c>
      <c r="B357" t="s">
        <v>37</v>
      </c>
      <c r="C357" s="35">
        <v>10</v>
      </c>
      <c r="D357">
        <v>2</v>
      </c>
      <c r="E357" s="15">
        <v>235200</v>
      </c>
      <c r="F357" s="15">
        <v>470400</v>
      </c>
      <c r="G357" s="14">
        <v>45748</v>
      </c>
    </row>
    <row r="358" spans="1:7" hidden="1" x14ac:dyDescent="0.3">
      <c r="A358" t="s">
        <v>36</v>
      </c>
      <c r="B358" t="s">
        <v>37</v>
      </c>
      <c r="C358" s="35">
        <v>10</v>
      </c>
      <c r="D358">
        <v>0</v>
      </c>
      <c r="E358" s="15">
        <v>0</v>
      </c>
      <c r="F358" s="15">
        <v>0</v>
      </c>
      <c r="G358" s="14">
        <v>45749</v>
      </c>
    </row>
    <row r="359" spans="1:7" hidden="1" x14ac:dyDescent="0.3">
      <c r="A359" t="s">
        <v>36</v>
      </c>
      <c r="B359" t="s">
        <v>37</v>
      </c>
      <c r="C359" s="35">
        <v>10</v>
      </c>
      <c r="D359">
        <v>0</v>
      </c>
      <c r="E359" s="15">
        <v>0</v>
      </c>
      <c r="F359" s="15">
        <v>0</v>
      </c>
      <c r="G359" s="14">
        <v>45750</v>
      </c>
    </row>
    <row r="360" spans="1:7" hidden="1" x14ac:dyDescent="0.3">
      <c r="A360" t="s">
        <v>36</v>
      </c>
      <c r="B360" t="s">
        <v>37</v>
      </c>
      <c r="C360" s="35">
        <v>10</v>
      </c>
      <c r="D360">
        <v>0</v>
      </c>
      <c r="E360" s="15">
        <v>0</v>
      </c>
      <c r="F360" s="15">
        <v>0</v>
      </c>
      <c r="G360" s="14">
        <v>45751</v>
      </c>
    </row>
    <row r="361" spans="1:7" hidden="1" x14ac:dyDescent="0.3">
      <c r="A361" t="s">
        <v>36</v>
      </c>
      <c r="B361" t="s">
        <v>37</v>
      </c>
      <c r="C361" s="35">
        <v>10</v>
      </c>
      <c r="D361">
        <v>1</v>
      </c>
      <c r="E361" s="15">
        <v>872000</v>
      </c>
      <c r="F361" s="15">
        <v>872000</v>
      </c>
      <c r="G361" s="14">
        <v>45752</v>
      </c>
    </row>
    <row r="362" spans="1:7" hidden="1" x14ac:dyDescent="0.3">
      <c r="A362" t="s">
        <v>36</v>
      </c>
      <c r="B362" t="s">
        <v>37</v>
      </c>
      <c r="C362" s="35">
        <v>10</v>
      </c>
      <c r="D362">
        <v>0</v>
      </c>
      <c r="E362" s="15">
        <v>0</v>
      </c>
      <c r="F362" s="15">
        <v>0</v>
      </c>
      <c r="G362" s="14">
        <v>45753</v>
      </c>
    </row>
    <row r="363" spans="1:7" hidden="1" x14ac:dyDescent="0.3">
      <c r="A363" t="s">
        <v>36</v>
      </c>
      <c r="B363" t="s">
        <v>37</v>
      </c>
      <c r="C363" s="35">
        <v>10</v>
      </c>
      <c r="D363">
        <v>0</v>
      </c>
      <c r="E363" s="15">
        <v>0</v>
      </c>
      <c r="F363" s="15">
        <v>0</v>
      </c>
      <c r="G363" s="14">
        <v>45754</v>
      </c>
    </row>
    <row r="364" spans="1:7" hidden="1" x14ac:dyDescent="0.3">
      <c r="A364" t="s">
        <v>36</v>
      </c>
      <c r="B364" t="s">
        <v>37</v>
      </c>
      <c r="C364" s="35">
        <v>10</v>
      </c>
      <c r="D364">
        <v>1</v>
      </c>
      <c r="E364" s="15">
        <v>540000</v>
      </c>
      <c r="F364" s="15">
        <v>540000</v>
      </c>
      <c r="G364" s="14">
        <v>45755</v>
      </c>
    </row>
    <row r="365" spans="1:7" hidden="1" x14ac:dyDescent="0.3">
      <c r="A365" t="s">
        <v>36</v>
      </c>
      <c r="B365" t="s">
        <v>37</v>
      </c>
      <c r="C365" s="35">
        <v>10</v>
      </c>
      <c r="D365">
        <v>1</v>
      </c>
      <c r="E365" s="15">
        <v>486000</v>
      </c>
      <c r="F365" s="15">
        <v>486000</v>
      </c>
      <c r="G365" s="14">
        <v>45756</v>
      </c>
    </row>
    <row r="366" spans="1:7" hidden="1" x14ac:dyDescent="0.3">
      <c r="A366" t="s">
        <v>36</v>
      </c>
      <c r="B366" t="s">
        <v>37</v>
      </c>
      <c r="C366" s="35">
        <v>10</v>
      </c>
      <c r="D366">
        <v>0</v>
      </c>
      <c r="E366" s="15">
        <v>0</v>
      </c>
      <c r="F366" s="15">
        <v>0</v>
      </c>
      <c r="G366" s="14">
        <v>45757</v>
      </c>
    </row>
    <row r="367" spans="1:7" hidden="1" x14ac:dyDescent="0.3">
      <c r="A367" t="s">
        <v>36</v>
      </c>
      <c r="B367" t="s">
        <v>37</v>
      </c>
      <c r="C367" s="35">
        <v>10</v>
      </c>
      <c r="D367">
        <v>3</v>
      </c>
      <c r="E367" s="15">
        <v>290000</v>
      </c>
      <c r="F367" s="15">
        <v>870000</v>
      </c>
      <c r="G367" s="14">
        <v>45758</v>
      </c>
    </row>
    <row r="368" spans="1:7" hidden="1" x14ac:dyDescent="0.3">
      <c r="A368" t="s">
        <v>36</v>
      </c>
      <c r="B368" t="s">
        <v>37</v>
      </c>
      <c r="C368" s="35">
        <v>10</v>
      </c>
      <c r="D368">
        <v>6</v>
      </c>
      <c r="E368" s="15">
        <v>464000</v>
      </c>
      <c r="F368" s="15">
        <v>2784000</v>
      </c>
      <c r="G368" s="14">
        <v>45759</v>
      </c>
    </row>
    <row r="369" spans="1:7" hidden="1" x14ac:dyDescent="0.3">
      <c r="A369" t="s">
        <v>36</v>
      </c>
      <c r="B369" t="s">
        <v>37</v>
      </c>
      <c r="C369" s="35">
        <v>10</v>
      </c>
      <c r="D369">
        <v>6</v>
      </c>
      <c r="E369" s="15">
        <v>421883.33</v>
      </c>
      <c r="F369" s="15">
        <v>2531300</v>
      </c>
      <c r="G369" s="14">
        <v>45760</v>
      </c>
    </row>
    <row r="370" spans="1:7" hidden="1" x14ac:dyDescent="0.3">
      <c r="A370" t="s">
        <v>36</v>
      </c>
      <c r="B370" t="s">
        <v>37</v>
      </c>
      <c r="C370" s="35">
        <v>10</v>
      </c>
      <c r="D370">
        <v>5</v>
      </c>
      <c r="E370" s="15">
        <v>456260</v>
      </c>
      <c r="F370" s="15">
        <v>2281300</v>
      </c>
      <c r="G370" s="14">
        <v>45761</v>
      </c>
    </row>
    <row r="371" spans="1:7" hidden="1" x14ac:dyDescent="0.3">
      <c r="A371" t="s">
        <v>36</v>
      </c>
      <c r="B371" t="s">
        <v>37</v>
      </c>
      <c r="C371" s="35">
        <v>10</v>
      </c>
      <c r="D371">
        <v>7</v>
      </c>
      <c r="E371" s="15">
        <v>549885.71</v>
      </c>
      <c r="F371" s="15">
        <v>3849200</v>
      </c>
      <c r="G371" s="14">
        <v>45762</v>
      </c>
    </row>
    <row r="372" spans="1:7" hidden="1" x14ac:dyDescent="0.3">
      <c r="A372" t="s">
        <v>36</v>
      </c>
      <c r="B372" t="s">
        <v>37</v>
      </c>
      <c r="C372" s="35">
        <v>10</v>
      </c>
      <c r="D372">
        <v>8</v>
      </c>
      <c r="E372" s="15">
        <v>522500</v>
      </c>
      <c r="F372" s="15">
        <v>4180000</v>
      </c>
      <c r="G372" s="14">
        <v>45763</v>
      </c>
    </row>
    <row r="373" spans="1:7" hidden="1" x14ac:dyDescent="0.3">
      <c r="A373" t="s">
        <v>36</v>
      </c>
      <c r="B373" t="s">
        <v>37</v>
      </c>
      <c r="C373" s="35">
        <v>10</v>
      </c>
      <c r="D373">
        <v>10</v>
      </c>
      <c r="E373" s="15">
        <v>484780</v>
      </c>
      <c r="F373" s="15">
        <v>4847800</v>
      </c>
      <c r="G373" s="14">
        <v>45764</v>
      </c>
    </row>
    <row r="374" spans="1:7" hidden="1" x14ac:dyDescent="0.3">
      <c r="A374" t="s">
        <v>36</v>
      </c>
      <c r="B374" t="s">
        <v>37</v>
      </c>
      <c r="C374" s="35">
        <v>10</v>
      </c>
      <c r="D374">
        <v>10</v>
      </c>
      <c r="E374" s="15">
        <v>549780</v>
      </c>
      <c r="F374" s="15">
        <v>5497800</v>
      </c>
      <c r="G374" s="14">
        <v>45765</v>
      </c>
    </row>
    <row r="375" spans="1:7" hidden="1" x14ac:dyDescent="0.3">
      <c r="A375" t="s">
        <v>36</v>
      </c>
      <c r="B375" t="s">
        <v>37</v>
      </c>
      <c r="C375" s="35">
        <v>10</v>
      </c>
      <c r="D375">
        <v>4</v>
      </c>
      <c r="E375" s="15">
        <v>565000</v>
      </c>
      <c r="F375" s="15">
        <v>2260000</v>
      </c>
      <c r="G375" s="14">
        <v>45766</v>
      </c>
    </row>
    <row r="376" spans="1:7" hidden="1" x14ac:dyDescent="0.3">
      <c r="A376" t="s">
        <v>36</v>
      </c>
      <c r="B376" t="s">
        <v>37</v>
      </c>
      <c r="C376" s="35">
        <v>10</v>
      </c>
      <c r="D376">
        <v>0</v>
      </c>
      <c r="E376" s="15">
        <v>0</v>
      </c>
      <c r="F376" s="15">
        <v>0</v>
      </c>
      <c r="G376" s="14">
        <v>45767</v>
      </c>
    </row>
    <row r="377" spans="1:7" hidden="1" x14ac:dyDescent="0.3">
      <c r="A377" t="s">
        <v>36</v>
      </c>
      <c r="B377" t="s">
        <v>37</v>
      </c>
      <c r="C377" s="35">
        <v>10</v>
      </c>
      <c r="D377">
        <v>0</v>
      </c>
      <c r="E377" s="15">
        <v>0</v>
      </c>
      <c r="F377" s="15">
        <v>0</v>
      </c>
      <c r="G377" s="14">
        <v>45768</v>
      </c>
    </row>
    <row r="378" spans="1:7" hidden="1" x14ac:dyDescent="0.3">
      <c r="A378" t="s">
        <v>36</v>
      </c>
      <c r="B378" t="s">
        <v>37</v>
      </c>
      <c r="C378" s="35">
        <v>10</v>
      </c>
      <c r="D378">
        <v>2</v>
      </c>
      <c r="E378" s="15">
        <v>839585</v>
      </c>
      <c r="F378" s="15">
        <v>1679170</v>
      </c>
      <c r="G378" s="14">
        <v>45769</v>
      </c>
    </row>
    <row r="379" spans="1:7" hidden="1" x14ac:dyDescent="0.3">
      <c r="A379" t="s">
        <v>36</v>
      </c>
      <c r="B379" t="s">
        <v>37</v>
      </c>
      <c r="C379" s="35">
        <v>10</v>
      </c>
      <c r="D379">
        <v>2</v>
      </c>
      <c r="E379" s="15">
        <v>572985</v>
      </c>
      <c r="F379" s="15">
        <v>1145970</v>
      </c>
      <c r="G379" s="14">
        <v>45770</v>
      </c>
    </row>
    <row r="380" spans="1:7" hidden="1" x14ac:dyDescent="0.3">
      <c r="A380" t="s">
        <v>36</v>
      </c>
      <c r="B380" t="s">
        <v>37</v>
      </c>
      <c r="C380" s="35">
        <v>10</v>
      </c>
      <c r="D380">
        <v>1</v>
      </c>
      <c r="E380" s="15">
        <v>320000</v>
      </c>
      <c r="F380" s="15">
        <v>320000</v>
      </c>
      <c r="G380" s="14">
        <v>45771</v>
      </c>
    </row>
    <row r="381" spans="1:7" hidden="1" x14ac:dyDescent="0.3">
      <c r="A381" t="s">
        <v>36</v>
      </c>
      <c r="B381" t="s">
        <v>37</v>
      </c>
      <c r="C381" s="35">
        <v>10</v>
      </c>
      <c r="D381">
        <v>2</v>
      </c>
      <c r="E381" s="15">
        <v>435650</v>
      </c>
      <c r="F381" s="15">
        <v>871300</v>
      </c>
      <c r="G381" s="14">
        <v>45772</v>
      </c>
    </row>
    <row r="382" spans="1:7" hidden="1" x14ac:dyDescent="0.3">
      <c r="A382" t="s">
        <v>36</v>
      </c>
      <c r="B382" t="s">
        <v>37</v>
      </c>
      <c r="C382" s="35">
        <v>10</v>
      </c>
      <c r="D382">
        <v>3</v>
      </c>
      <c r="E382" s="15">
        <v>246666.67</v>
      </c>
      <c r="F382" s="15">
        <v>740000</v>
      </c>
      <c r="G382" s="14">
        <v>45773</v>
      </c>
    </row>
    <row r="383" spans="1:7" hidden="1" x14ac:dyDescent="0.3">
      <c r="A383" t="s">
        <v>36</v>
      </c>
      <c r="B383" t="s">
        <v>37</v>
      </c>
      <c r="C383" s="35">
        <v>10</v>
      </c>
      <c r="D383">
        <v>1</v>
      </c>
      <c r="E383" s="15">
        <v>570000</v>
      </c>
      <c r="F383" s="15">
        <v>570000</v>
      </c>
      <c r="G383" s="14">
        <v>45774</v>
      </c>
    </row>
    <row r="384" spans="1:7" hidden="1" x14ac:dyDescent="0.3">
      <c r="A384" t="s">
        <v>36</v>
      </c>
      <c r="B384" t="s">
        <v>37</v>
      </c>
      <c r="C384" s="35">
        <v>10</v>
      </c>
      <c r="D384">
        <v>0</v>
      </c>
      <c r="E384" s="15">
        <v>0</v>
      </c>
      <c r="F384" s="15">
        <v>0</v>
      </c>
      <c r="G384" s="14">
        <v>45775</v>
      </c>
    </row>
    <row r="385" spans="1:7" hidden="1" x14ac:dyDescent="0.3">
      <c r="A385" t="s">
        <v>36</v>
      </c>
      <c r="B385" t="s">
        <v>37</v>
      </c>
      <c r="C385" s="35">
        <v>10</v>
      </c>
      <c r="D385">
        <v>1</v>
      </c>
      <c r="E385" s="15">
        <v>292572</v>
      </c>
      <c r="F385" s="15">
        <v>292572</v>
      </c>
      <c r="G385" s="14">
        <v>45776</v>
      </c>
    </row>
    <row r="386" spans="1:7" hidden="1" x14ac:dyDescent="0.3">
      <c r="A386" t="s">
        <v>36</v>
      </c>
      <c r="B386" t="s">
        <v>37</v>
      </c>
      <c r="C386" s="35">
        <v>10</v>
      </c>
      <c r="D386">
        <v>1</v>
      </c>
      <c r="E386" s="15">
        <v>288000</v>
      </c>
      <c r="F386" s="15">
        <v>288000</v>
      </c>
      <c r="G386" s="14">
        <v>45777</v>
      </c>
    </row>
    <row r="387" spans="1:7" hidden="1" x14ac:dyDescent="0.3">
      <c r="A387" t="s">
        <v>36</v>
      </c>
      <c r="B387" t="s">
        <v>37</v>
      </c>
      <c r="G387" s="14">
        <v>45778</v>
      </c>
    </row>
    <row r="388" spans="1:7" hidden="1" x14ac:dyDescent="0.3">
      <c r="A388" t="s">
        <v>36</v>
      </c>
      <c r="B388" t="s">
        <v>37</v>
      </c>
      <c r="G388" s="14">
        <v>45779</v>
      </c>
    </row>
    <row r="389" spans="1:7" hidden="1" x14ac:dyDescent="0.3">
      <c r="A389" t="s">
        <v>36</v>
      </c>
      <c r="B389" t="s">
        <v>37</v>
      </c>
      <c r="G389" s="14">
        <v>45780</v>
      </c>
    </row>
    <row r="390" spans="1:7" hidden="1" x14ac:dyDescent="0.3">
      <c r="A390" t="s">
        <v>36</v>
      </c>
      <c r="B390" t="s">
        <v>37</v>
      </c>
      <c r="G390" s="14">
        <v>45781</v>
      </c>
    </row>
    <row r="391" spans="1:7" hidden="1" x14ac:dyDescent="0.3">
      <c r="A391" t="s">
        <v>36</v>
      </c>
      <c r="B391" t="s">
        <v>37</v>
      </c>
      <c r="G391" s="14">
        <v>45782</v>
      </c>
    </row>
    <row r="392" spans="1:7" hidden="1" x14ac:dyDescent="0.3">
      <c r="A392" t="s">
        <v>36</v>
      </c>
      <c r="B392" t="s">
        <v>37</v>
      </c>
      <c r="G392" s="14">
        <v>45783</v>
      </c>
    </row>
    <row r="393" spans="1:7" hidden="1" x14ac:dyDescent="0.3">
      <c r="A393" t="s">
        <v>36</v>
      </c>
      <c r="B393" t="s">
        <v>37</v>
      </c>
      <c r="G393" s="14">
        <v>45784</v>
      </c>
    </row>
    <row r="394" spans="1:7" hidden="1" x14ac:dyDescent="0.3">
      <c r="A394" t="s">
        <v>36</v>
      </c>
      <c r="B394" t="s">
        <v>37</v>
      </c>
      <c r="G394" s="14">
        <v>45785</v>
      </c>
    </row>
    <row r="395" spans="1:7" hidden="1" x14ac:dyDescent="0.3">
      <c r="A395" t="s">
        <v>36</v>
      </c>
      <c r="B395" t="s">
        <v>37</v>
      </c>
      <c r="G395" s="14">
        <v>45786</v>
      </c>
    </row>
    <row r="396" spans="1:7" hidden="1" x14ac:dyDescent="0.3">
      <c r="A396" t="s">
        <v>36</v>
      </c>
      <c r="B396" t="s">
        <v>37</v>
      </c>
      <c r="G396" s="14">
        <v>45787</v>
      </c>
    </row>
    <row r="397" spans="1:7" hidden="1" x14ac:dyDescent="0.3">
      <c r="A397" t="s">
        <v>36</v>
      </c>
      <c r="B397" t="s">
        <v>37</v>
      </c>
      <c r="G397" s="14">
        <v>45788</v>
      </c>
    </row>
    <row r="398" spans="1:7" hidden="1" x14ac:dyDescent="0.3">
      <c r="A398" t="s">
        <v>36</v>
      </c>
      <c r="B398" t="s">
        <v>37</v>
      </c>
      <c r="G398" s="14">
        <v>45789</v>
      </c>
    </row>
    <row r="399" spans="1:7" hidden="1" x14ac:dyDescent="0.3">
      <c r="A399" t="s">
        <v>8</v>
      </c>
      <c r="B399" t="s">
        <v>38</v>
      </c>
      <c r="C399" s="35">
        <v>11</v>
      </c>
      <c r="D399">
        <v>0</v>
      </c>
      <c r="E399" s="15">
        <v>0</v>
      </c>
      <c r="F399" s="15">
        <v>0</v>
      </c>
      <c r="G399" s="14">
        <v>45748</v>
      </c>
    </row>
    <row r="400" spans="1:7" hidden="1" x14ac:dyDescent="0.3">
      <c r="A400" t="str">
        <f t="shared" ref="A400:A440" si="17">+A399</f>
        <v>EL PEÑOL, GUATAPÉ</v>
      </c>
      <c r="B400" t="str">
        <f t="shared" ref="B400:B440" si="18">+B399</f>
        <v>Hotel Campestre Alto lindo en Guatapé</v>
      </c>
      <c r="C400" s="35">
        <v>11</v>
      </c>
      <c r="D400">
        <v>0</v>
      </c>
      <c r="E400" s="15">
        <v>0</v>
      </c>
      <c r="F400" s="15">
        <v>0</v>
      </c>
      <c r="G400" s="14">
        <v>45749</v>
      </c>
    </row>
    <row r="401" spans="1:7" hidden="1" x14ac:dyDescent="0.3">
      <c r="A401" t="str">
        <f t="shared" ref="A401:B403" si="19">+A400</f>
        <v>EL PEÑOL, GUATAPÉ</v>
      </c>
      <c r="B401" t="str">
        <f t="shared" si="19"/>
        <v>Hotel Campestre Alto lindo en Guatapé</v>
      </c>
      <c r="C401" s="35">
        <v>11</v>
      </c>
      <c r="D401">
        <v>0</v>
      </c>
      <c r="E401" s="15">
        <v>0</v>
      </c>
      <c r="F401" s="15">
        <v>0</v>
      </c>
      <c r="G401" s="14">
        <v>45750</v>
      </c>
    </row>
    <row r="402" spans="1:7" hidden="1" x14ac:dyDescent="0.3">
      <c r="A402" t="str">
        <f t="shared" si="19"/>
        <v>EL PEÑOL, GUATAPÉ</v>
      </c>
      <c r="B402" t="str">
        <f t="shared" si="19"/>
        <v>Hotel Campestre Alto lindo en Guatapé</v>
      </c>
      <c r="C402" s="35">
        <v>11</v>
      </c>
      <c r="D402">
        <v>2</v>
      </c>
      <c r="E402" s="15">
        <v>182209.5</v>
      </c>
      <c r="F402" s="15">
        <v>364419</v>
      </c>
      <c r="G402" s="14">
        <v>45751</v>
      </c>
    </row>
    <row r="403" spans="1:7" hidden="1" x14ac:dyDescent="0.3">
      <c r="A403" t="str">
        <f t="shared" si="19"/>
        <v>EL PEÑOL, GUATAPÉ</v>
      </c>
      <c r="B403" t="str">
        <f t="shared" si="19"/>
        <v>Hotel Campestre Alto lindo en Guatapé</v>
      </c>
      <c r="C403" s="35">
        <v>11</v>
      </c>
      <c r="D403">
        <v>6</v>
      </c>
      <c r="E403" s="15">
        <v>242804.5</v>
      </c>
      <c r="F403" s="15">
        <v>1456827</v>
      </c>
      <c r="G403" s="14">
        <v>45752</v>
      </c>
    </row>
    <row r="404" spans="1:7" hidden="1" x14ac:dyDescent="0.3">
      <c r="A404" t="str">
        <f t="shared" si="17"/>
        <v>EL PEÑOL, GUATAPÉ</v>
      </c>
      <c r="B404" t="str">
        <f t="shared" si="18"/>
        <v>Hotel Campestre Alto lindo en Guatapé</v>
      </c>
      <c r="C404" s="35">
        <v>11</v>
      </c>
      <c r="D404">
        <v>0</v>
      </c>
      <c r="E404" s="15">
        <v>0</v>
      </c>
      <c r="F404" s="15">
        <v>0</v>
      </c>
      <c r="G404" s="14">
        <v>45753</v>
      </c>
    </row>
    <row r="405" spans="1:7" hidden="1" x14ac:dyDescent="0.3">
      <c r="A405" t="str">
        <f t="shared" si="17"/>
        <v>EL PEÑOL, GUATAPÉ</v>
      </c>
      <c r="B405" t="str">
        <f t="shared" si="18"/>
        <v>Hotel Campestre Alto lindo en Guatapé</v>
      </c>
      <c r="C405" s="35">
        <v>11</v>
      </c>
      <c r="D405">
        <v>2</v>
      </c>
      <c r="E405" s="15">
        <v>135447</v>
      </c>
      <c r="F405" s="15">
        <v>270894</v>
      </c>
      <c r="G405" s="14">
        <v>45754</v>
      </c>
    </row>
    <row r="406" spans="1:7" hidden="1" x14ac:dyDescent="0.3">
      <c r="A406" t="str">
        <f t="shared" si="17"/>
        <v>EL PEÑOL, GUATAPÉ</v>
      </c>
      <c r="B406" t="str">
        <f t="shared" si="18"/>
        <v>Hotel Campestre Alto lindo en Guatapé</v>
      </c>
      <c r="C406" s="35">
        <v>11</v>
      </c>
      <c r="D406">
        <v>1</v>
      </c>
      <c r="E406" s="15">
        <v>212800</v>
      </c>
      <c r="F406" s="15">
        <v>212800</v>
      </c>
      <c r="G406" s="14">
        <v>45755</v>
      </c>
    </row>
    <row r="407" spans="1:7" hidden="1" x14ac:dyDescent="0.3">
      <c r="A407" t="str">
        <f t="shared" si="17"/>
        <v>EL PEÑOL, GUATAPÉ</v>
      </c>
      <c r="B407" t="str">
        <f t="shared" si="18"/>
        <v>Hotel Campestre Alto lindo en Guatapé</v>
      </c>
      <c r="C407" s="35">
        <v>11</v>
      </c>
      <c r="D407">
        <v>0</v>
      </c>
      <c r="E407" s="15">
        <v>0</v>
      </c>
      <c r="F407" s="15">
        <v>0</v>
      </c>
      <c r="G407" s="14">
        <v>45756</v>
      </c>
    </row>
    <row r="408" spans="1:7" hidden="1" x14ac:dyDescent="0.3">
      <c r="A408" t="str">
        <f t="shared" si="17"/>
        <v>EL PEÑOL, GUATAPÉ</v>
      </c>
      <c r="B408" t="str">
        <f t="shared" si="18"/>
        <v>Hotel Campestre Alto lindo en Guatapé</v>
      </c>
      <c r="C408" s="35">
        <v>11</v>
      </c>
      <c r="D408">
        <v>2</v>
      </c>
      <c r="E408" s="15">
        <v>136108</v>
      </c>
      <c r="F408" s="15">
        <v>272216</v>
      </c>
      <c r="G408" s="14">
        <v>45757</v>
      </c>
    </row>
    <row r="409" spans="1:7" hidden="1" x14ac:dyDescent="0.3">
      <c r="A409" t="str">
        <f t="shared" si="17"/>
        <v>EL PEÑOL, GUATAPÉ</v>
      </c>
      <c r="B409" t="str">
        <f t="shared" si="18"/>
        <v>Hotel Campestre Alto lindo en Guatapé</v>
      </c>
      <c r="C409" s="35">
        <v>11</v>
      </c>
      <c r="D409">
        <v>1</v>
      </c>
      <c r="E409" s="15">
        <v>290000</v>
      </c>
      <c r="F409" s="15">
        <v>290000</v>
      </c>
      <c r="G409" s="14">
        <v>45758</v>
      </c>
    </row>
    <row r="410" spans="1:7" hidden="1" x14ac:dyDescent="0.3">
      <c r="A410" t="str">
        <f t="shared" si="17"/>
        <v>EL PEÑOL, GUATAPÉ</v>
      </c>
      <c r="B410" t="str">
        <f t="shared" si="18"/>
        <v>Hotel Campestre Alto lindo en Guatapé</v>
      </c>
      <c r="C410" s="35">
        <v>11</v>
      </c>
      <c r="D410">
        <v>10</v>
      </c>
      <c r="E410" s="15">
        <v>224365.7</v>
      </c>
      <c r="F410" s="15">
        <v>2243657</v>
      </c>
      <c r="G410" s="14">
        <v>45759</v>
      </c>
    </row>
    <row r="411" spans="1:7" hidden="1" x14ac:dyDescent="0.3">
      <c r="A411" t="str">
        <f t="shared" si="17"/>
        <v>EL PEÑOL, GUATAPÉ</v>
      </c>
      <c r="B411" t="str">
        <f t="shared" si="18"/>
        <v>Hotel Campestre Alto lindo en Guatapé</v>
      </c>
      <c r="C411" s="35">
        <v>11</v>
      </c>
      <c r="D411">
        <v>5</v>
      </c>
      <c r="E411" s="15">
        <v>266560.8</v>
      </c>
      <c r="F411" s="15">
        <v>1332804</v>
      </c>
      <c r="G411" s="14">
        <v>45760</v>
      </c>
    </row>
    <row r="412" spans="1:7" hidden="1" x14ac:dyDescent="0.3">
      <c r="A412" t="str">
        <f t="shared" si="17"/>
        <v>EL PEÑOL, GUATAPÉ</v>
      </c>
      <c r="B412" t="str">
        <f t="shared" si="18"/>
        <v>Hotel Campestre Alto lindo en Guatapé</v>
      </c>
      <c r="C412" s="35">
        <v>11</v>
      </c>
      <c r="D412">
        <v>8</v>
      </c>
      <c r="E412" s="15">
        <v>317915.63</v>
      </c>
      <c r="F412" s="15">
        <v>2543325</v>
      </c>
      <c r="G412" s="14">
        <v>45761</v>
      </c>
    </row>
    <row r="413" spans="1:7" hidden="1" x14ac:dyDescent="0.3">
      <c r="A413" t="str">
        <f t="shared" si="17"/>
        <v>EL PEÑOL, GUATAPÉ</v>
      </c>
      <c r="B413" t="str">
        <f t="shared" si="18"/>
        <v>Hotel Campestre Alto lindo en Guatapé</v>
      </c>
      <c r="C413" s="35">
        <v>11</v>
      </c>
      <c r="D413">
        <v>7</v>
      </c>
      <c r="E413" s="15">
        <v>270780</v>
      </c>
      <c r="F413" s="15">
        <v>1895460</v>
      </c>
      <c r="G413" s="14">
        <v>45762</v>
      </c>
    </row>
    <row r="414" spans="1:7" hidden="1" x14ac:dyDescent="0.3">
      <c r="A414" t="str">
        <f t="shared" si="17"/>
        <v>EL PEÑOL, GUATAPÉ</v>
      </c>
      <c r="B414" t="str">
        <f t="shared" si="18"/>
        <v>Hotel Campestre Alto lindo en Guatapé</v>
      </c>
      <c r="C414" s="35">
        <v>11</v>
      </c>
      <c r="D414">
        <v>9</v>
      </c>
      <c r="E414" s="15">
        <v>176691.44</v>
      </c>
      <c r="F414" s="15">
        <v>1590223</v>
      </c>
      <c r="G414" s="14">
        <v>45763</v>
      </c>
    </row>
    <row r="415" spans="1:7" hidden="1" x14ac:dyDescent="0.3">
      <c r="A415" t="str">
        <f t="shared" si="17"/>
        <v>EL PEÑOL, GUATAPÉ</v>
      </c>
      <c r="B415" t="str">
        <f t="shared" si="18"/>
        <v>Hotel Campestre Alto lindo en Guatapé</v>
      </c>
      <c r="C415" s="35">
        <v>11</v>
      </c>
      <c r="D415">
        <v>9</v>
      </c>
      <c r="E415" s="15">
        <v>433454.78</v>
      </c>
      <c r="F415" s="15">
        <v>3901093</v>
      </c>
      <c r="G415" s="14">
        <v>45764</v>
      </c>
    </row>
    <row r="416" spans="1:7" hidden="1" x14ac:dyDescent="0.3">
      <c r="A416" t="str">
        <f t="shared" si="17"/>
        <v>EL PEÑOL, GUATAPÉ</v>
      </c>
      <c r="B416" t="str">
        <f t="shared" si="18"/>
        <v>Hotel Campestre Alto lindo en Guatapé</v>
      </c>
      <c r="C416" s="35">
        <v>11</v>
      </c>
      <c r="D416">
        <v>8</v>
      </c>
      <c r="E416" s="15">
        <v>275125.5</v>
      </c>
      <c r="F416" s="15">
        <v>2201004</v>
      </c>
      <c r="G416" s="14">
        <v>45765</v>
      </c>
    </row>
    <row r="417" spans="1:7" hidden="1" x14ac:dyDescent="0.3">
      <c r="A417" t="str">
        <f t="shared" si="17"/>
        <v>EL PEÑOL, GUATAPÉ</v>
      </c>
      <c r="B417" t="str">
        <f t="shared" si="18"/>
        <v>Hotel Campestre Alto lindo en Guatapé</v>
      </c>
      <c r="C417" s="35">
        <v>11</v>
      </c>
      <c r="D417">
        <v>6</v>
      </c>
      <c r="E417" s="15">
        <v>264204.33</v>
      </c>
      <c r="F417" s="15">
        <v>1585226</v>
      </c>
      <c r="G417" s="14">
        <v>45766</v>
      </c>
    </row>
    <row r="418" spans="1:7" hidden="1" x14ac:dyDescent="0.3">
      <c r="A418" t="str">
        <f t="shared" si="17"/>
        <v>EL PEÑOL, GUATAPÉ</v>
      </c>
      <c r="B418" t="str">
        <f t="shared" si="18"/>
        <v>Hotel Campestre Alto lindo en Guatapé</v>
      </c>
      <c r="C418" s="35">
        <v>11</v>
      </c>
      <c r="D418">
        <v>3</v>
      </c>
      <c r="E418" s="15">
        <v>185532.67</v>
      </c>
      <c r="F418" s="15">
        <v>556598</v>
      </c>
      <c r="G418" s="14">
        <v>45767</v>
      </c>
    </row>
    <row r="419" spans="1:7" hidden="1" x14ac:dyDescent="0.3">
      <c r="A419" t="str">
        <f t="shared" si="17"/>
        <v>EL PEÑOL, GUATAPÉ</v>
      </c>
      <c r="B419" t="str">
        <f t="shared" si="18"/>
        <v>Hotel Campestre Alto lindo en Guatapé</v>
      </c>
      <c r="C419" s="35">
        <v>11</v>
      </c>
      <c r="D419">
        <v>0</v>
      </c>
      <c r="E419" s="15">
        <v>0</v>
      </c>
      <c r="F419" s="15">
        <v>0</v>
      </c>
      <c r="G419" s="14">
        <v>45768</v>
      </c>
    </row>
    <row r="420" spans="1:7" hidden="1" x14ac:dyDescent="0.3">
      <c r="A420" t="str">
        <f t="shared" si="17"/>
        <v>EL PEÑOL, GUATAPÉ</v>
      </c>
      <c r="B420" t="str">
        <f t="shared" si="18"/>
        <v>Hotel Campestre Alto lindo en Guatapé</v>
      </c>
      <c r="C420" s="35">
        <v>11</v>
      </c>
      <c r="D420">
        <v>2</v>
      </c>
      <c r="E420" s="15">
        <v>126465</v>
      </c>
      <c r="F420" s="15">
        <v>252930</v>
      </c>
      <c r="G420" s="14">
        <v>45769</v>
      </c>
    </row>
    <row r="421" spans="1:7" hidden="1" x14ac:dyDescent="0.3">
      <c r="A421" t="str">
        <f t="shared" si="17"/>
        <v>EL PEÑOL, GUATAPÉ</v>
      </c>
      <c r="B421" t="str">
        <f t="shared" si="18"/>
        <v>Hotel Campestre Alto lindo en Guatapé</v>
      </c>
      <c r="C421" s="35">
        <v>11</v>
      </c>
      <c r="D421">
        <v>3</v>
      </c>
      <c r="E421" s="15">
        <v>239330</v>
      </c>
      <c r="F421" s="15">
        <v>717990</v>
      </c>
      <c r="G421" s="14">
        <v>45770</v>
      </c>
    </row>
    <row r="422" spans="1:7" hidden="1" x14ac:dyDescent="0.3">
      <c r="A422" t="str">
        <f t="shared" si="17"/>
        <v>EL PEÑOL, GUATAPÉ</v>
      </c>
      <c r="B422" t="str">
        <f t="shared" si="18"/>
        <v>Hotel Campestre Alto lindo en Guatapé</v>
      </c>
      <c r="C422" s="35">
        <v>11</v>
      </c>
      <c r="D422">
        <v>3</v>
      </c>
      <c r="E422" s="15">
        <v>197796.67</v>
      </c>
      <c r="F422" s="15">
        <v>593390</v>
      </c>
      <c r="G422" s="14">
        <v>45771</v>
      </c>
    </row>
    <row r="423" spans="1:7" hidden="1" x14ac:dyDescent="0.3">
      <c r="A423" t="str">
        <f t="shared" si="17"/>
        <v>EL PEÑOL, GUATAPÉ</v>
      </c>
      <c r="B423" t="str">
        <f t="shared" si="18"/>
        <v>Hotel Campestre Alto lindo en Guatapé</v>
      </c>
      <c r="C423" s="35">
        <v>11</v>
      </c>
      <c r="D423">
        <v>4</v>
      </c>
      <c r="E423" s="15">
        <v>196108</v>
      </c>
      <c r="F423" s="15">
        <v>784432</v>
      </c>
      <c r="G423" s="14">
        <v>45772</v>
      </c>
    </row>
    <row r="424" spans="1:7" hidden="1" x14ac:dyDescent="0.3">
      <c r="A424" t="str">
        <f t="shared" si="17"/>
        <v>EL PEÑOL, GUATAPÉ</v>
      </c>
      <c r="B424" t="str">
        <f t="shared" si="18"/>
        <v>Hotel Campestre Alto lindo en Guatapé</v>
      </c>
      <c r="C424" s="35">
        <v>11</v>
      </c>
      <c r="D424">
        <v>7</v>
      </c>
      <c r="E424" s="15">
        <v>232769.43</v>
      </c>
      <c r="F424" s="15">
        <v>1629386</v>
      </c>
      <c r="G424" s="14">
        <v>45773</v>
      </c>
    </row>
    <row r="425" spans="1:7" hidden="1" x14ac:dyDescent="0.3">
      <c r="A425" t="str">
        <f t="shared" si="17"/>
        <v>EL PEÑOL, GUATAPÉ</v>
      </c>
      <c r="B425" t="str">
        <f t="shared" si="18"/>
        <v>Hotel Campestre Alto lindo en Guatapé</v>
      </c>
      <c r="C425" s="35">
        <v>11</v>
      </c>
      <c r="D425">
        <v>4</v>
      </c>
      <c r="E425" s="15">
        <v>203420</v>
      </c>
      <c r="F425" s="15">
        <v>813680</v>
      </c>
      <c r="G425" s="14">
        <v>45774</v>
      </c>
    </row>
    <row r="426" spans="1:7" hidden="1" x14ac:dyDescent="0.3">
      <c r="A426" t="str">
        <f t="shared" si="17"/>
        <v>EL PEÑOL, GUATAPÉ</v>
      </c>
      <c r="B426" t="str">
        <f t="shared" si="18"/>
        <v>Hotel Campestre Alto lindo en Guatapé</v>
      </c>
      <c r="C426" s="35">
        <v>11</v>
      </c>
      <c r="D426">
        <v>3</v>
      </c>
      <c r="E426" s="15">
        <v>200596.67</v>
      </c>
      <c r="F426" s="15">
        <v>601790</v>
      </c>
      <c r="G426" s="14">
        <v>45775</v>
      </c>
    </row>
    <row r="427" spans="1:7" hidden="1" x14ac:dyDescent="0.3">
      <c r="A427" t="str">
        <f t="shared" si="17"/>
        <v>EL PEÑOL, GUATAPÉ</v>
      </c>
      <c r="B427" t="str">
        <f t="shared" si="18"/>
        <v>Hotel Campestre Alto lindo en Guatapé</v>
      </c>
      <c r="C427" s="35">
        <v>11</v>
      </c>
      <c r="D427">
        <v>2</v>
      </c>
      <c r="E427" s="15">
        <v>195795</v>
      </c>
      <c r="F427" s="15">
        <v>391590</v>
      </c>
      <c r="G427" s="14">
        <v>45776</v>
      </c>
    </row>
    <row r="428" spans="1:7" hidden="1" x14ac:dyDescent="0.3">
      <c r="A428" t="str">
        <f t="shared" si="17"/>
        <v>EL PEÑOL, GUATAPÉ</v>
      </c>
      <c r="B428" t="str">
        <f t="shared" si="18"/>
        <v>Hotel Campestre Alto lindo en Guatapé</v>
      </c>
      <c r="C428" s="35">
        <v>11</v>
      </c>
      <c r="D428">
        <v>4</v>
      </c>
      <c r="E428" s="15">
        <v>190262.5</v>
      </c>
      <c r="F428" s="15">
        <v>761050</v>
      </c>
      <c r="G428" s="14">
        <v>45777</v>
      </c>
    </row>
    <row r="429" spans="1:7" hidden="1" x14ac:dyDescent="0.3">
      <c r="A429" t="str">
        <f t="shared" si="17"/>
        <v>EL PEÑOL, GUATAPÉ</v>
      </c>
      <c r="B429" t="str">
        <f t="shared" si="18"/>
        <v>Hotel Campestre Alto lindo en Guatapé</v>
      </c>
      <c r="C429" s="35">
        <v>11</v>
      </c>
      <c r="G429" s="14"/>
    </row>
    <row r="430" spans="1:7" hidden="1" x14ac:dyDescent="0.3">
      <c r="A430" t="str">
        <f t="shared" si="17"/>
        <v>EL PEÑOL, GUATAPÉ</v>
      </c>
      <c r="B430" t="str">
        <f t="shared" si="18"/>
        <v>Hotel Campestre Alto lindo en Guatapé</v>
      </c>
      <c r="G430" s="14"/>
    </row>
    <row r="431" spans="1:7" hidden="1" x14ac:dyDescent="0.3">
      <c r="A431" t="str">
        <f t="shared" si="17"/>
        <v>EL PEÑOL, GUATAPÉ</v>
      </c>
      <c r="B431" t="str">
        <f t="shared" si="18"/>
        <v>Hotel Campestre Alto lindo en Guatapé</v>
      </c>
      <c r="G431" s="14"/>
    </row>
    <row r="432" spans="1:7" hidden="1" x14ac:dyDescent="0.3">
      <c r="A432" t="str">
        <f t="shared" si="17"/>
        <v>EL PEÑOL, GUATAPÉ</v>
      </c>
      <c r="B432" t="str">
        <f t="shared" si="18"/>
        <v>Hotel Campestre Alto lindo en Guatapé</v>
      </c>
      <c r="G432" s="14"/>
    </row>
    <row r="433" spans="1:7" hidden="1" x14ac:dyDescent="0.3">
      <c r="A433" t="str">
        <f t="shared" si="17"/>
        <v>EL PEÑOL, GUATAPÉ</v>
      </c>
      <c r="B433" t="str">
        <f t="shared" si="18"/>
        <v>Hotel Campestre Alto lindo en Guatapé</v>
      </c>
      <c r="G433" s="14"/>
    </row>
    <row r="434" spans="1:7" hidden="1" x14ac:dyDescent="0.3">
      <c r="A434" t="str">
        <f t="shared" si="17"/>
        <v>EL PEÑOL, GUATAPÉ</v>
      </c>
      <c r="B434" t="str">
        <f t="shared" si="18"/>
        <v>Hotel Campestre Alto lindo en Guatapé</v>
      </c>
      <c r="G434" s="14"/>
    </row>
    <row r="435" spans="1:7" hidden="1" x14ac:dyDescent="0.3">
      <c r="A435" t="str">
        <f t="shared" si="17"/>
        <v>EL PEÑOL, GUATAPÉ</v>
      </c>
      <c r="B435" t="str">
        <f t="shared" si="18"/>
        <v>Hotel Campestre Alto lindo en Guatapé</v>
      </c>
      <c r="G435" s="14"/>
    </row>
    <row r="436" spans="1:7" hidden="1" x14ac:dyDescent="0.3">
      <c r="A436" t="str">
        <f t="shared" si="17"/>
        <v>EL PEÑOL, GUATAPÉ</v>
      </c>
      <c r="B436" t="str">
        <f t="shared" si="18"/>
        <v>Hotel Campestre Alto lindo en Guatapé</v>
      </c>
      <c r="G436" s="14"/>
    </row>
    <row r="437" spans="1:7" hidden="1" x14ac:dyDescent="0.3">
      <c r="A437" t="str">
        <f t="shared" si="17"/>
        <v>EL PEÑOL, GUATAPÉ</v>
      </c>
      <c r="B437" t="str">
        <f t="shared" si="18"/>
        <v>Hotel Campestre Alto lindo en Guatapé</v>
      </c>
      <c r="G437" s="14"/>
    </row>
    <row r="438" spans="1:7" hidden="1" x14ac:dyDescent="0.3">
      <c r="A438" t="str">
        <f t="shared" si="17"/>
        <v>EL PEÑOL, GUATAPÉ</v>
      </c>
      <c r="B438" t="str">
        <f t="shared" si="18"/>
        <v>Hotel Campestre Alto lindo en Guatapé</v>
      </c>
      <c r="G438" s="14"/>
    </row>
    <row r="439" spans="1:7" hidden="1" x14ac:dyDescent="0.3">
      <c r="A439" t="str">
        <f t="shared" si="17"/>
        <v>EL PEÑOL, GUATAPÉ</v>
      </c>
      <c r="B439" t="str">
        <f t="shared" si="18"/>
        <v>Hotel Campestre Alto lindo en Guatapé</v>
      </c>
      <c r="G439" s="14"/>
    </row>
    <row r="440" spans="1:7" hidden="1" x14ac:dyDescent="0.3">
      <c r="A440" t="str">
        <f t="shared" si="17"/>
        <v>EL PEÑOL, GUATAPÉ</v>
      </c>
      <c r="B440" t="str">
        <f t="shared" si="18"/>
        <v>Hotel Campestre Alto lindo en Guatapé</v>
      </c>
      <c r="G440" s="14"/>
    </row>
    <row r="441" spans="1:7" hidden="1" x14ac:dyDescent="0.3">
      <c r="A441" t="s">
        <v>8</v>
      </c>
      <c r="B441" t="s">
        <v>17</v>
      </c>
      <c r="G441" s="14">
        <v>46011</v>
      </c>
    </row>
    <row r="442" spans="1:7" hidden="1" x14ac:dyDescent="0.3">
      <c r="A442" t="str">
        <f t="shared" ref="A442:A482" si="20">+A441</f>
        <v>EL PEÑOL, GUATAPÉ</v>
      </c>
      <c r="B442" t="str">
        <f t="shared" ref="B442:B482" si="21">+B441</f>
        <v>Glamping con jacuzzi y cocina- El Peñol a 30 minutos de Guatapé</v>
      </c>
      <c r="G442" s="14">
        <v>46012</v>
      </c>
    </row>
    <row r="443" spans="1:7" hidden="1" x14ac:dyDescent="0.3">
      <c r="A443" t="str">
        <f t="shared" si="20"/>
        <v>EL PEÑOL, GUATAPÉ</v>
      </c>
      <c r="B443" t="str">
        <f t="shared" si="21"/>
        <v>Glamping con jacuzzi y cocina- El Peñol a 30 minutos de Guatapé</v>
      </c>
      <c r="G443" s="14">
        <v>46013</v>
      </c>
    </row>
    <row r="444" spans="1:7" hidden="1" x14ac:dyDescent="0.3">
      <c r="A444" t="str">
        <f t="shared" si="20"/>
        <v>EL PEÑOL, GUATAPÉ</v>
      </c>
      <c r="B444" t="str">
        <f t="shared" si="21"/>
        <v>Glamping con jacuzzi y cocina- El Peñol a 30 minutos de Guatapé</v>
      </c>
      <c r="G444" s="14">
        <v>46014</v>
      </c>
    </row>
    <row r="445" spans="1:7" hidden="1" x14ac:dyDescent="0.3">
      <c r="A445" t="str">
        <f t="shared" si="20"/>
        <v>EL PEÑOL, GUATAPÉ</v>
      </c>
      <c r="B445" t="str">
        <f t="shared" si="21"/>
        <v>Glamping con jacuzzi y cocina- El Peñol a 30 minutos de Guatapé</v>
      </c>
      <c r="G445" s="14">
        <v>46015</v>
      </c>
    </row>
    <row r="446" spans="1:7" hidden="1" x14ac:dyDescent="0.3">
      <c r="A446" t="str">
        <f t="shared" si="20"/>
        <v>EL PEÑOL, GUATAPÉ</v>
      </c>
      <c r="B446" t="str">
        <f t="shared" si="21"/>
        <v>Glamping con jacuzzi y cocina- El Peñol a 30 minutos de Guatapé</v>
      </c>
      <c r="G446" s="14">
        <v>46016</v>
      </c>
    </row>
    <row r="447" spans="1:7" hidden="1" x14ac:dyDescent="0.3">
      <c r="A447" t="str">
        <f t="shared" si="20"/>
        <v>EL PEÑOL, GUATAPÉ</v>
      </c>
      <c r="B447" t="str">
        <f t="shared" si="21"/>
        <v>Glamping con jacuzzi y cocina- El Peñol a 30 minutos de Guatapé</v>
      </c>
      <c r="G447" s="14">
        <v>46017</v>
      </c>
    </row>
    <row r="448" spans="1:7" hidden="1" x14ac:dyDescent="0.3">
      <c r="A448" t="str">
        <f t="shared" si="20"/>
        <v>EL PEÑOL, GUATAPÉ</v>
      </c>
      <c r="B448" t="str">
        <f t="shared" si="21"/>
        <v>Glamping con jacuzzi y cocina- El Peñol a 30 minutos de Guatapé</v>
      </c>
      <c r="G448" s="14">
        <v>46018</v>
      </c>
    </row>
    <row r="449" spans="1:7" hidden="1" x14ac:dyDescent="0.3">
      <c r="A449" t="str">
        <f t="shared" si="20"/>
        <v>EL PEÑOL, GUATAPÉ</v>
      </c>
      <c r="B449" t="str">
        <f t="shared" si="21"/>
        <v>Glamping con jacuzzi y cocina- El Peñol a 30 minutos de Guatapé</v>
      </c>
      <c r="G449" s="14">
        <v>46019</v>
      </c>
    </row>
    <row r="450" spans="1:7" hidden="1" x14ac:dyDescent="0.3">
      <c r="A450" t="str">
        <f t="shared" si="20"/>
        <v>EL PEÑOL, GUATAPÉ</v>
      </c>
      <c r="B450" t="str">
        <f t="shared" si="21"/>
        <v>Glamping con jacuzzi y cocina- El Peñol a 30 minutos de Guatapé</v>
      </c>
      <c r="G450" s="14">
        <v>46020</v>
      </c>
    </row>
    <row r="451" spans="1:7" hidden="1" x14ac:dyDescent="0.3">
      <c r="A451" t="str">
        <f t="shared" si="20"/>
        <v>EL PEÑOL, GUATAPÉ</v>
      </c>
      <c r="B451" t="str">
        <f t="shared" si="21"/>
        <v>Glamping con jacuzzi y cocina- El Peñol a 30 minutos de Guatapé</v>
      </c>
      <c r="G451" s="14">
        <v>46021</v>
      </c>
    </row>
    <row r="452" spans="1:7" hidden="1" x14ac:dyDescent="0.3">
      <c r="A452" t="str">
        <f t="shared" si="20"/>
        <v>EL PEÑOL, GUATAPÉ</v>
      </c>
      <c r="B452" t="str">
        <f t="shared" si="21"/>
        <v>Glamping con jacuzzi y cocina- El Peñol a 30 minutos de Guatapé</v>
      </c>
      <c r="G452" s="14">
        <v>46022</v>
      </c>
    </row>
    <row r="453" spans="1:7" hidden="1" x14ac:dyDescent="0.3">
      <c r="A453" t="str">
        <f t="shared" si="20"/>
        <v>EL PEÑOL, GUATAPÉ</v>
      </c>
      <c r="B453" t="str">
        <f t="shared" si="21"/>
        <v>Glamping con jacuzzi y cocina- El Peñol a 30 minutos de Guatapé</v>
      </c>
      <c r="G453" s="14">
        <v>46023</v>
      </c>
    </row>
    <row r="454" spans="1:7" hidden="1" x14ac:dyDescent="0.3">
      <c r="A454" t="str">
        <f t="shared" si="20"/>
        <v>EL PEÑOL, GUATAPÉ</v>
      </c>
      <c r="B454" t="str">
        <f t="shared" si="21"/>
        <v>Glamping con jacuzzi y cocina- El Peñol a 30 minutos de Guatapé</v>
      </c>
      <c r="G454" s="14">
        <v>46024</v>
      </c>
    </row>
    <row r="455" spans="1:7" hidden="1" x14ac:dyDescent="0.3">
      <c r="A455" t="str">
        <f t="shared" si="20"/>
        <v>EL PEÑOL, GUATAPÉ</v>
      </c>
      <c r="B455" t="str">
        <f t="shared" si="21"/>
        <v>Glamping con jacuzzi y cocina- El Peñol a 30 minutos de Guatapé</v>
      </c>
      <c r="G455" s="14">
        <v>46025</v>
      </c>
    </row>
    <row r="456" spans="1:7" hidden="1" x14ac:dyDescent="0.3">
      <c r="A456" t="str">
        <f t="shared" si="20"/>
        <v>EL PEÑOL, GUATAPÉ</v>
      </c>
      <c r="B456" t="str">
        <f t="shared" si="21"/>
        <v>Glamping con jacuzzi y cocina- El Peñol a 30 minutos de Guatapé</v>
      </c>
      <c r="G456" s="14">
        <v>46026</v>
      </c>
    </row>
    <row r="457" spans="1:7" hidden="1" x14ac:dyDescent="0.3">
      <c r="A457" t="str">
        <f t="shared" si="20"/>
        <v>EL PEÑOL, GUATAPÉ</v>
      </c>
      <c r="B457" t="str">
        <f t="shared" si="21"/>
        <v>Glamping con jacuzzi y cocina- El Peñol a 30 minutos de Guatapé</v>
      </c>
      <c r="G457" s="14">
        <v>46027</v>
      </c>
    </row>
    <row r="458" spans="1:7" hidden="1" x14ac:dyDescent="0.3">
      <c r="A458" t="str">
        <f t="shared" si="20"/>
        <v>EL PEÑOL, GUATAPÉ</v>
      </c>
      <c r="B458" t="str">
        <f t="shared" si="21"/>
        <v>Glamping con jacuzzi y cocina- El Peñol a 30 minutos de Guatapé</v>
      </c>
      <c r="G458" s="14">
        <v>46028</v>
      </c>
    </row>
    <row r="459" spans="1:7" hidden="1" x14ac:dyDescent="0.3">
      <c r="A459" t="str">
        <f t="shared" si="20"/>
        <v>EL PEÑOL, GUATAPÉ</v>
      </c>
      <c r="B459" t="str">
        <f t="shared" si="21"/>
        <v>Glamping con jacuzzi y cocina- El Peñol a 30 minutos de Guatapé</v>
      </c>
      <c r="G459" s="14">
        <v>46029</v>
      </c>
    </row>
    <row r="460" spans="1:7" hidden="1" x14ac:dyDescent="0.3">
      <c r="A460" t="str">
        <f t="shared" si="20"/>
        <v>EL PEÑOL, GUATAPÉ</v>
      </c>
      <c r="B460" t="str">
        <f t="shared" si="21"/>
        <v>Glamping con jacuzzi y cocina- El Peñol a 30 minutos de Guatapé</v>
      </c>
      <c r="G460" s="14">
        <v>46030</v>
      </c>
    </row>
    <row r="461" spans="1:7" hidden="1" x14ac:dyDescent="0.3">
      <c r="A461" t="str">
        <f t="shared" si="20"/>
        <v>EL PEÑOL, GUATAPÉ</v>
      </c>
      <c r="B461" t="str">
        <f t="shared" si="21"/>
        <v>Glamping con jacuzzi y cocina- El Peñol a 30 minutos de Guatapé</v>
      </c>
      <c r="G461" s="14">
        <v>46031</v>
      </c>
    </row>
    <row r="462" spans="1:7" hidden="1" x14ac:dyDescent="0.3">
      <c r="A462" t="str">
        <f t="shared" si="20"/>
        <v>EL PEÑOL, GUATAPÉ</v>
      </c>
      <c r="B462" t="str">
        <f t="shared" si="21"/>
        <v>Glamping con jacuzzi y cocina- El Peñol a 30 minutos de Guatapé</v>
      </c>
      <c r="G462" s="14">
        <v>46032</v>
      </c>
    </row>
    <row r="463" spans="1:7" hidden="1" x14ac:dyDescent="0.3">
      <c r="A463" t="str">
        <f t="shared" si="20"/>
        <v>EL PEÑOL, GUATAPÉ</v>
      </c>
      <c r="B463" t="str">
        <f t="shared" si="21"/>
        <v>Glamping con jacuzzi y cocina- El Peñol a 30 minutos de Guatapé</v>
      </c>
      <c r="G463" s="14">
        <v>46033</v>
      </c>
    </row>
    <row r="464" spans="1:7" hidden="1" x14ac:dyDescent="0.3">
      <c r="A464" t="str">
        <f t="shared" si="20"/>
        <v>EL PEÑOL, GUATAPÉ</v>
      </c>
      <c r="B464" t="str">
        <f t="shared" si="21"/>
        <v>Glamping con jacuzzi y cocina- El Peñol a 30 minutos de Guatapé</v>
      </c>
      <c r="G464" s="14">
        <v>46034</v>
      </c>
    </row>
    <row r="465" spans="1:7" hidden="1" x14ac:dyDescent="0.3">
      <c r="A465" t="str">
        <f t="shared" si="20"/>
        <v>EL PEÑOL, GUATAPÉ</v>
      </c>
      <c r="B465" t="str">
        <f t="shared" si="21"/>
        <v>Glamping con jacuzzi y cocina- El Peñol a 30 minutos de Guatapé</v>
      </c>
      <c r="G465" s="14">
        <v>46035</v>
      </c>
    </row>
    <row r="466" spans="1:7" hidden="1" x14ac:dyDescent="0.3">
      <c r="A466" t="str">
        <f t="shared" si="20"/>
        <v>EL PEÑOL, GUATAPÉ</v>
      </c>
      <c r="B466" t="str">
        <f t="shared" si="21"/>
        <v>Glamping con jacuzzi y cocina- El Peñol a 30 minutos de Guatapé</v>
      </c>
      <c r="G466" s="14">
        <v>46036</v>
      </c>
    </row>
    <row r="467" spans="1:7" hidden="1" x14ac:dyDescent="0.3">
      <c r="A467" t="str">
        <f t="shared" si="20"/>
        <v>EL PEÑOL, GUATAPÉ</v>
      </c>
      <c r="B467" t="str">
        <f t="shared" si="21"/>
        <v>Glamping con jacuzzi y cocina- El Peñol a 30 minutos de Guatapé</v>
      </c>
      <c r="G467" s="14">
        <v>46037</v>
      </c>
    </row>
    <row r="468" spans="1:7" hidden="1" x14ac:dyDescent="0.3">
      <c r="A468" t="str">
        <f t="shared" si="20"/>
        <v>EL PEÑOL, GUATAPÉ</v>
      </c>
      <c r="B468" t="str">
        <f t="shared" si="21"/>
        <v>Glamping con jacuzzi y cocina- El Peñol a 30 minutos de Guatapé</v>
      </c>
      <c r="G468" s="14">
        <v>46038</v>
      </c>
    </row>
    <row r="469" spans="1:7" hidden="1" x14ac:dyDescent="0.3">
      <c r="A469" t="str">
        <f t="shared" si="20"/>
        <v>EL PEÑOL, GUATAPÉ</v>
      </c>
      <c r="B469" t="str">
        <f t="shared" si="21"/>
        <v>Glamping con jacuzzi y cocina- El Peñol a 30 minutos de Guatapé</v>
      </c>
      <c r="G469" s="14">
        <v>46039</v>
      </c>
    </row>
    <row r="470" spans="1:7" hidden="1" x14ac:dyDescent="0.3">
      <c r="A470" t="str">
        <f t="shared" si="20"/>
        <v>EL PEÑOL, GUATAPÉ</v>
      </c>
      <c r="B470" t="str">
        <f t="shared" si="21"/>
        <v>Glamping con jacuzzi y cocina- El Peñol a 30 minutos de Guatapé</v>
      </c>
      <c r="G470" s="14">
        <v>46040</v>
      </c>
    </row>
    <row r="471" spans="1:7" hidden="1" x14ac:dyDescent="0.3">
      <c r="A471" t="str">
        <f t="shared" si="20"/>
        <v>EL PEÑOL, GUATAPÉ</v>
      </c>
      <c r="B471" t="str">
        <f t="shared" si="21"/>
        <v>Glamping con jacuzzi y cocina- El Peñol a 30 minutos de Guatapé</v>
      </c>
      <c r="G471" s="14">
        <v>46041</v>
      </c>
    </row>
    <row r="472" spans="1:7" hidden="1" x14ac:dyDescent="0.3">
      <c r="A472" t="str">
        <f t="shared" si="20"/>
        <v>EL PEÑOL, GUATAPÉ</v>
      </c>
      <c r="B472" t="str">
        <f t="shared" si="21"/>
        <v>Glamping con jacuzzi y cocina- El Peñol a 30 minutos de Guatapé</v>
      </c>
      <c r="G472" s="14">
        <v>46042</v>
      </c>
    </row>
    <row r="473" spans="1:7" hidden="1" x14ac:dyDescent="0.3">
      <c r="A473" t="str">
        <f t="shared" si="20"/>
        <v>EL PEÑOL, GUATAPÉ</v>
      </c>
      <c r="B473" t="str">
        <f t="shared" si="21"/>
        <v>Glamping con jacuzzi y cocina- El Peñol a 30 minutos de Guatapé</v>
      </c>
      <c r="G473" s="14">
        <v>46043</v>
      </c>
    </row>
    <row r="474" spans="1:7" hidden="1" x14ac:dyDescent="0.3">
      <c r="A474" t="str">
        <f t="shared" si="20"/>
        <v>EL PEÑOL, GUATAPÉ</v>
      </c>
      <c r="B474" t="str">
        <f t="shared" si="21"/>
        <v>Glamping con jacuzzi y cocina- El Peñol a 30 minutos de Guatapé</v>
      </c>
      <c r="G474" s="14">
        <v>46044</v>
      </c>
    </row>
    <row r="475" spans="1:7" hidden="1" x14ac:dyDescent="0.3">
      <c r="A475" t="str">
        <f t="shared" si="20"/>
        <v>EL PEÑOL, GUATAPÉ</v>
      </c>
      <c r="B475" t="str">
        <f t="shared" si="21"/>
        <v>Glamping con jacuzzi y cocina- El Peñol a 30 minutos de Guatapé</v>
      </c>
      <c r="G475" s="14">
        <v>46045</v>
      </c>
    </row>
    <row r="476" spans="1:7" hidden="1" x14ac:dyDescent="0.3">
      <c r="A476" t="str">
        <f t="shared" si="20"/>
        <v>EL PEÑOL, GUATAPÉ</v>
      </c>
      <c r="B476" t="str">
        <f t="shared" si="21"/>
        <v>Glamping con jacuzzi y cocina- El Peñol a 30 minutos de Guatapé</v>
      </c>
      <c r="G476" s="14">
        <v>46046</v>
      </c>
    </row>
    <row r="477" spans="1:7" hidden="1" x14ac:dyDescent="0.3">
      <c r="A477" t="str">
        <f t="shared" si="20"/>
        <v>EL PEÑOL, GUATAPÉ</v>
      </c>
      <c r="B477" t="str">
        <f t="shared" si="21"/>
        <v>Glamping con jacuzzi y cocina- El Peñol a 30 minutos de Guatapé</v>
      </c>
      <c r="G477" s="14">
        <v>46047</v>
      </c>
    </row>
    <row r="478" spans="1:7" hidden="1" x14ac:dyDescent="0.3">
      <c r="A478" t="str">
        <f t="shared" si="20"/>
        <v>EL PEÑOL, GUATAPÉ</v>
      </c>
      <c r="B478" t="str">
        <f t="shared" si="21"/>
        <v>Glamping con jacuzzi y cocina- El Peñol a 30 minutos de Guatapé</v>
      </c>
      <c r="G478" s="14">
        <v>46048</v>
      </c>
    </row>
    <row r="479" spans="1:7" hidden="1" x14ac:dyDescent="0.3">
      <c r="A479" t="str">
        <f t="shared" si="20"/>
        <v>EL PEÑOL, GUATAPÉ</v>
      </c>
      <c r="B479" t="str">
        <f t="shared" si="21"/>
        <v>Glamping con jacuzzi y cocina- El Peñol a 30 minutos de Guatapé</v>
      </c>
      <c r="G479" s="14">
        <v>46049</v>
      </c>
    </row>
    <row r="480" spans="1:7" hidden="1" x14ac:dyDescent="0.3">
      <c r="A480" t="str">
        <f t="shared" si="20"/>
        <v>EL PEÑOL, GUATAPÉ</v>
      </c>
      <c r="B480" t="str">
        <f t="shared" si="21"/>
        <v>Glamping con jacuzzi y cocina- El Peñol a 30 minutos de Guatapé</v>
      </c>
      <c r="G480" s="14">
        <v>46050</v>
      </c>
    </row>
    <row r="481" spans="1:7" hidden="1" x14ac:dyDescent="0.3">
      <c r="A481" t="str">
        <f t="shared" si="20"/>
        <v>EL PEÑOL, GUATAPÉ</v>
      </c>
      <c r="B481" t="str">
        <f t="shared" si="21"/>
        <v>Glamping con jacuzzi y cocina- El Peñol a 30 minutos de Guatapé</v>
      </c>
      <c r="G481" s="14">
        <v>46051</v>
      </c>
    </row>
    <row r="482" spans="1:7" hidden="1" x14ac:dyDescent="0.3">
      <c r="A482" t="str">
        <f t="shared" si="20"/>
        <v>EL PEÑOL, GUATAPÉ</v>
      </c>
      <c r="B482" t="str">
        <f t="shared" si="21"/>
        <v>Glamping con jacuzzi y cocina- El Peñol a 30 minutos de Guatapé</v>
      </c>
      <c r="G482" s="14">
        <v>46052</v>
      </c>
    </row>
    <row r="483" spans="1:7" hidden="1" x14ac:dyDescent="0.3">
      <c r="A483" t="s">
        <v>8</v>
      </c>
      <c r="B483" t="s">
        <v>20</v>
      </c>
      <c r="G483" s="14">
        <v>46053</v>
      </c>
    </row>
    <row r="484" spans="1:7" hidden="1" x14ac:dyDescent="0.3">
      <c r="A484" t="str">
        <f t="shared" ref="A484:A524" si="22">+A483</f>
        <v>EL PEÑOL, GUATAPÉ</v>
      </c>
      <c r="B484" t="str">
        <f t="shared" ref="B484:B524" si="23">+B483</f>
        <v>Finca con jacuzzi a 15min de Guatape</v>
      </c>
      <c r="G484" s="14">
        <v>46054</v>
      </c>
    </row>
    <row r="485" spans="1:7" hidden="1" x14ac:dyDescent="0.3">
      <c r="A485" t="str">
        <f t="shared" si="22"/>
        <v>EL PEÑOL, GUATAPÉ</v>
      </c>
      <c r="B485" t="str">
        <f t="shared" si="23"/>
        <v>Finca con jacuzzi a 15min de Guatape</v>
      </c>
      <c r="G485" s="14">
        <v>46055</v>
      </c>
    </row>
    <row r="486" spans="1:7" hidden="1" x14ac:dyDescent="0.3">
      <c r="A486" t="str">
        <f t="shared" si="22"/>
        <v>EL PEÑOL, GUATAPÉ</v>
      </c>
      <c r="B486" t="str">
        <f t="shared" si="23"/>
        <v>Finca con jacuzzi a 15min de Guatape</v>
      </c>
      <c r="G486" s="14">
        <v>46056</v>
      </c>
    </row>
    <row r="487" spans="1:7" hidden="1" x14ac:dyDescent="0.3">
      <c r="A487" t="str">
        <f t="shared" si="22"/>
        <v>EL PEÑOL, GUATAPÉ</v>
      </c>
      <c r="B487" t="str">
        <f t="shared" si="23"/>
        <v>Finca con jacuzzi a 15min de Guatape</v>
      </c>
      <c r="G487" s="14">
        <v>46057</v>
      </c>
    </row>
    <row r="488" spans="1:7" hidden="1" x14ac:dyDescent="0.3">
      <c r="A488" t="str">
        <f t="shared" si="22"/>
        <v>EL PEÑOL, GUATAPÉ</v>
      </c>
      <c r="B488" t="str">
        <f t="shared" si="23"/>
        <v>Finca con jacuzzi a 15min de Guatape</v>
      </c>
      <c r="G488" s="14">
        <v>46058</v>
      </c>
    </row>
    <row r="489" spans="1:7" hidden="1" x14ac:dyDescent="0.3">
      <c r="A489" t="str">
        <f t="shared" si="22"/>
        <v>EL PEÑOL, GUATAPÉ</v>
      </c>
      <c r="B489" t="str">
        <f t="shared" si="23"/>
        <v>Finca con jacuzzi a 15min de Guatape</v>
      </c>
      <c r="G489" s="14">
        <v>46059</v>
      </c>
    </row>
    <row r="490" spans="1:7" hidden="1" x14ac:dyDescent="0.3">
      <c r="A490" t="str">
        <f t="shared" si="22"/>
        <v>EL PEÑOL, GUATAPÉ</v>
      </c>
      <c r="B490" t="str">
        <f t="shared" si="23"/>
        <v>Finca con jacuzzi a 15min de Guatape</v>
      </c>
      <c r="G490" s="14">
        <v>46060</v>
      </c>
    </row>
    <row r="491" spans="1:7" hidden="1" x14ac:dyDescent="0.3">
      <c r="A491" t="str">
        <f t="shared" si="22"/>
        <v>EL PEÑOL, GUATAPÉ</v>
      </c>
      <c r="B491" t="str">
        <f t="shared" si="23"/>
        <v>Finca con jacuzzi a 15min de Guatape</v>
      </c>
      <c r="G491" s="14">
        <v>46061</v>
      </c>
    </row>
    <row r="492" spans="1:7" hidden="1" x14ac:dyDescent="0.3">
      <c r="A492" t="str">
        <f t="shared" si="22"/>
        <v>EL PEÑOL, GUATAPÉ</v>
      </c>
      <c r="B492" t="str">
        <f t="shared" si="23"/>
        <v>Finca con jacuzzi a 15min de Guatape</v>
      </c>
      <c r="G492" s="14">
        <v>46062</v>
      </c>
    </row>
    <row r="493" spans="1:7" hidden="1" x14ac:dyDescent="0.3">
      <c r="A493" t="str">
        <f t="shared" si="22"/>
        <v>EL PEÑOL, GUATAPÉ</v>
      </c>
      <c r="B493" t="str">
        <f t="shared" si="23"/>
        <v>Finca con jacuzzi a 15min de Guatape</v>
      </c>
      <c r="G493" s="14">
        <v>46063</v>
      </c>
    </row>
    <row r="494" spans="1:7" hidden="1" x14ac:dyDescent="0.3">
      <c r="A494" t="str">
        <f t="shared" si="22"/>
        <v>EL PEÑOL, GUATAPÉ</v>
      </c>
      <c r="B494" t="str">
        <f t="shared" si="23"/>
        <v>Finca con jacuzzi a 15min de Guatape</v>
      </c>
      <c r="G494" s="14">
        <v>46064</v>
      </c>
    </row>
    <row r="495" spans="1:7" hidden="1" x14ac:dyDescent="0.3">
      <c r="A495" t="str">
        <f t="shared" si="22"/>
        <v>EL PEÑOL, GUATAPÉ</v>
      </c>
      <c r="B495" t="str">
        <f t="shared" si="23"/>
        <v>Finca con jacuzzi a 15min de Guatape</v>
      </c>
      <c r="G495" s="14">
        <v>46065</v>
      </c>
    </row>
    <row r="496" spans="1:7" hidden="1" x14ac:dyDescent="0.3">
      <c r="A496" t="str">
        <f t="shared" si="22"/>
        <v>EL PEÑOL, GUATAPÉ</v>
      </c>
      <c r="B496" t="str">
        <f t="shared" si="23"/>
        <v>Finca con jacuzzi a 15min de Guatape</v>
      </c>
      <c r="G496" s="14">
        <v>46066</v>
      </c>
    </row>
    <row r="497" spans="1:7" hidden="1" x14ac:dyDescent="0.3">
      <c r="A497" t="str">
        <f t="shared" si="22"/>
        <v>EL PEÑOL, GUATAPÉ</v>
      </c>
      <c r="B497" t="str">
        <f t="shared" si="23"/>
        <v>Finca con jacuzzi a 15min de Guatape</v>
      </c>
      <c r="G497" s="14">
        <v>46067</v>
      </c>
    </row>
    <row r="498" spans="1:7" hidden="1" x14ac:dyDescent="0.3">
      <c r="A498" t="str">
        <f t="shared" si="22"/>
        <v>EL PEÑOL, GUATAPÉ</v>
      </c>
      <c r="B498" t="str">
        <f t="shared" si="23"/>
        <v>Finca con jacuzzi a 15min de Guatape</v>
      </c>
      <c r="G498" s="14">
        <v>46068</v>
      </c>
    </row>
    <row r="499" spans="1:7" hidden="1" x14ac:dyDescent="0.3">
      <c r="A499" t="str">
        <f t="shared" si="22"/>
        <v>EL PEÑOL, GUATAPÉ</v>
      </c>
      <c r="B499" t="str">
        <f t="shared" si="23"/>
        <v>Finca con jacuzzi a 15min de Guatape</v>
      </c>
      <c r="G499" s="14">
        <v>46069</v>
      </c>
    </row>
    <row r="500" spans="1:7" hidden="1" x14ac:dyDescent="0.3">
      <c r="A500" t="str">
        <f t="shared" si="22"/>
        <v>EL PEÑOL, GUATAPÉ</v>
      </c>
      <c r="B500" t="str">
        <f t="shared" si="23"/>
        <v>Finca con jacuzzi a 15min de Guatape</v>
      </c>
      <c r="G500" s="14">
        <v>46070</v>
      </c>
    </row>
    <row r="501" spans="1:7" hidden="1" x14ac:dyDescent="0.3">
      <c r="A501" t="str">
        <f t="shared" si="22"/>
        <v>EL PEÑOL, GUATAPÉ</v>
      </c>
      <c r="B501" t="str">
        <f t="shared" si="23"/>
        <v>Finca con jacuzzi a 15min de Guatape</v>
      </c>
      <c r="G501" s="14">
        <v>46071</v>
      </c>
    </row>
    <row r="502" spans="1:7" hidden="1" x14ac:dyDescent="0.3">
      <c r="A502" t="str">
        <f t="shared" si="22"/>
        <v>EL PEÑOL, GUATAPÉ</v>
      </c>
      <c r="B502" t="str">
        <f t="shared" si="23"/>
        <v>Finca con jacuzzi a 15min de Guatape</v>
      </c>
      <c r="G502" s="14">
        <v>46072</v>
      </c>
    </row>
    <row r="503" spans="1:7" hidden="1" x14ac:dyDescent="0.3">
      <c r="A503" t="str">
        <f t="shared" si="22"/>
        <v>EL PEÑOL, GUATAPÉ</v>
      </c>
      <c r="B503" t="str">
        <f t="shared" si="23"/>
        <v>Finca con jacuzzi a 15min de Guatape</v>
      </c>
      <c r="G503" s="14">
        <v>46073</v>
      </c>
    </row>
    <row r="504" spans="1:7" hidden="1" x14ac:dyDescent="0.3">
      <c r="A504" t="str">
        <f t="shared" si="22"/>
        <v>EL PEÑOL, GUATAPÉ</v>
      </c>
      <c r="B504" t="str">
        <f t="shared" si="23"/>
        <v>Finca con jacuzzi a 15min de Guatape</v>
      </c>
      <c r="G504" s="14">
        <v>46074</v>
      </c>
    </row>
    <row r="505" spans="1:7" hidden="1" x14ac:dyDescent="0.3">
      <c r="A505" t="str">
        <f t="shared" si="22"/>
        <v>EL PEÑOL, GUATAPÉ</v>
      </c>
      <c r="B505" t="str">
        <f t="shared" si="23"/>
        <v>Finca con jacuzzi a 15min de Guatape</v>
      </c>
      <c r="G505" s="14">
        <v>46075</v>
      </c>
    </row>
    <row r="506" spans="1:7" hidden="1" x14ac:dyDescent="0.3">
      <c r="A506" t="str">
        <f t="shared" si="22"/>
        <v>EL PEÑOL, GUATAPÉ</v>
      </c>
      <c r="B506" t="str">
        <f t="shared" si="23"/>
        <v>Finca con jacuzzi a 15min de Guatape</v>
      </c>
      <c r="G506" s="14">
        <v>46076</v>
      </c>
    </row>
    <row r="507" spans="1:7" hidden="1" x14ac:dyDescent="0.3">
      <c r="A507" t="str">
        <f t="shared" si="22"/>
        <v>EL PEÑOL, GUATAPÉ</v>
      </c>
      <c r="B507" t="str">
        <f t="shared" si="23"/>
        <v>Finca con jacuzzi a 15min de Guatape</v>
      </c>
      <c r="G507" s="14">
        <v>46077</v>
      </c>
    </row>
    <row r="508" spans="1:7" hidden="1" x14ac:dyDescent="0.3">
      <c r="A508" t="str">
        <f t="shared" si="22"/>
        <v>EL PEÑOL, GUATAPÉ</v>
      </c>
      <c r="B508" t="str">
        <f t="shared" si="23"/>
        <v>Finca con jacuzzi a 15min de Guatape</v>
      </c>
      <c r="G508" s="14">
        <v>46078</v>
      </c>
    </row>
    <row r="509" spans="1:7" hidden="1" x14ac:dyDescent="0.3">
      <c r="A509" t="str">
        <f t="shared" si="22"/>
        <v>EL PEÑOL, GUATAPÉ</v>
      </c>
      <c r="B509" t="str">
        <f t="shared" si="23"/>
        <v>Finca con jacuzzi a 15min de Guatape</v>
      </c>
      <c r="G509" s="14">
        <v>46079</v>
      </c>
    </row>
    <row r="510" spans="1:7" hidden="1" x14ac:dyDescent="0.3">
      <c r="A510" t="str">
        <f t="shared" si="22"/>
        <v>EL PEÑOL, GUATAPÉ</v>
      </c>
      <c r="B510" t="str">
        <f t="shared" si="23"/>
        <v>Finca con jacuzzi a 15min de Guatape</v>
      </c>
      <c r="G510" s="14">
        <v>46080</v>
      </c>
    </row>
    <row r="511" spans="1:7" hidden="1" x14ac:dyDescent="0.3">
      <c r="A511" t="str">
        <f t="shared" si="22"/>
        <v>EL PEÑOL, GUATAPÉ</v>
      </c>
      <c r="B511" t="str">
        <f t="shared" si="23"/>
        <v>Finca con jacuzzi a 15min de Guatape</v>
      </c>
      <c r="G511" s="14">
        <v>46081</v>
      </c>
    </row>
    <row r="512" spans="1:7" hidden="1" x14ac:dyDescent="0.3">
      <c r="A512" t="str">
        <f t="shared" si="22"/>
        <v>EL PEÑOL, GUATAPÉ</v>
      </c>
      <c r="B512" t="str">
        <f t="shared" si="23"/>
        <v>Finca con jacuzzi a 15min de Guatape</v>
      </c>
      <c r="G512" s="14">
        <v>46082</v>
      </c>
    </row>
    <row r="513" spans="1:7" hidden="1" x14ac:dyDescent="0.3">
      <c r="A513" t="str">
        <f t="shared" si="22"/>
        <v>EL PEÑOL, GUATAPÉ</v>
      </c>
      <c r="B513" t="str">
        <f t="shared" si="23"/>
        <v>Finca con jacuzzi a 15min de Guatape</v>
      </c>
      <c r="G513" s="14">
        <v>46083</v>
      </c>
    </row>
    <row r="514" spans="1:7" hidden="1" x14ac:dyDescent="0.3">
      <c r="A514" t="str">
        <f t="shared" si="22"/>
        <v>EL PEÑOL, GUATAPÉ</v>
      </c>
      <c r="B514" t="str">
        <f t="shared" si="23"/>
        <v>Finca con jacuzzi a 15min de Guatape</v>
      </c>
      <c r="G514" s="14">
        <v>46084</v>
      </c>
    </row>
    <row r="515" spans="1:7" hidden="1" x14ac:dyDescent="0.3">
      <c r="A515" t="str">
        <f t="shared" si="22"/>
        <v>EL PEÑOL, GUATAPÉ</v>
      </c>
      <c r="B515" t="str">
        <f t="shared" si="23"/>
        <v>Finca con jacuzzi a 15min de Guatape</v>
      </c>
      <c r="G515" s="14">
        <v>46085</v>
      </c>
    </row>
    <row r="516" spans="1:7" hidden="1" x14ac:dyDescent="0.3">
      <c r="A516" t="str">
        <f t="shared" si="22"/>
        <v>EL PEÑOL, GUATAPÉ</v>
      </c>
      <c r="B516" t="str">
        <f t="shared" si="23"/>
        <v>Finca con jacuzzi a 15min de Guatape</v>
      </c>
      <c r="G516" s="14">
        <v>46086</v>
      </c>
    </row>
    <row r="517" spans="1:7" hidden="1" x14ac:dyDescent="0.3">
      <c r="A517" t="str">
        <f t="shared" si="22"/>
        <v>EL PEÑOL, GUATAPÉ</v>
      </c>
      <c r="B517" t="str">
        <f t="shared" si="23"/>
        <v>Finca con jacuzzi a 15min de Guatape</v>
      </c>
      <c r="G517" s="14">
        <v>46087</v>
      </c>
    </row>
    <row r="518" spans="1:7" hidden="1" x14ac:dyDescent="0.3">
      <c r="A518" t="str">
        <f t="shared" si="22"/>
        <v>EL PEÑOL, GUATAPÉ</v>
      </c>
      <c r="B518" t="str">
        <f t="shared" si="23"/>
        <v>Finca con jacuzzi a 15min de Guatape</v>
      </c>
      <c r="G518" s="14">
        <v>46088</v>
      </c>
    </row>
    <row r="519" spans="1:7" hidden="1" x14ac:dyDescent="0.3">
      <c r="A519" t="str">
        <f t="shared" si="22"/>
        <v>EL PEÑOL, GUATAPÉ</v>
      </c>
      <c r="B519" t="str">
        <f t="shared" si="23"/>
        <v>Finca con jacuzzi a 15min de Guatape</v>
      </c>
      <c r="G519" s="14">
        <v>46089</v>
      </c>
    </row>
    <row r="520" spans="1:7" hidden="1" x14ac:dyDescent="0.3">
      <c r="A520" t="str">
        <f t="shared" si="22"/>
        <v>EL PEÑOL, GUATAPÉ</v>
      </c>
      <c r="B520" t="str">
        <f t="shared" si="23"/>
        <v>Finca con jacuzzi a 15min de Guatape</v>
      </c>
      <c r="G520" s="14">
        <v>46090</v>
      </c>
    </row>
    <row r="521" spans="1:7" hidden="1" x14ac:dyDescent="0.3">
      <c r="A521" t="str">
        <f t="shared" si="22"/>
        <v>EL PEÑOL, GUATAPÉ</v>
      </c>
      <c r="B521" t="str">
        <f t="shared" si="23"/>
        <v>Finca con jacuzzi a 15min de Guatape</v>
      </c>
      <c r="G521" s="14">
        <v>46091</v>
      </c>
    </row>
    <row r="522" spans="1:7" hidden="1" x14ac:dyDescent="0.3">
      <c r="A522" t="str">
        <f t="shared" si="22"/>
        <v>EL PEÑOL, GUATAPÉ</v>
      </c>
      <c r="B522" t="str">
        <f t="shared" si="23"/>
        <v>Finca con jacuzzi a 15min de Guatape</v>
      </c>
      <c r="G522" s="14">
        <v>46092</v>
      </c>
    </row>
    <row r="523" spans="1:7" hidden="1" x14ac:dyDescent="0.3">
      <c r="A523" t="str">
        <f t="shared" si="22"/>
        <v>EL PEÑOL, GUATAPÉ</v>
      </c>
      <c r="B523" t="str">
        <f t="shared" si="23"/>
        <v>Finca con jacuzzi a 15min de Guatape</v>
      </c>
      <c r="G523" s="14">
        <v>46093</v>
      </c>
    </row>
    <row r="524" spans="1:7" hidden="1" x14ac:dyDescent="0.3">
      <c r="A524" t="str">
        <f t="shared" si="22"/>
        <v>EL PEÑOL, GUATAPÉ</v>
      </c>
      <c r="B524" t="str">
        <f t="shared" si="23"/>
        <v>Finca con jacuzzi a 15min de Guatape</v>
      </c>
      <c r="G524" s="14">
        <v>46094</v>
      </c>
    </row>
    <row r="525" spans="1:7" hidden="1" x14ac:dyDescent="0.3">
      <c r="A525" t="s">
        <v>8</v>
      </c>
      <c r="B525" t="s">
        <v>21</v>
      </c>
      <c r="G525" s="14">
        <v>46095</v>
      </c>
    </row>
    <row r="526" spans="1:7" hidden="1" x14ac:dyDescent="0.3">
      <c r="A526" t="str">
        <f t="shared" ref="A526:A566" si="24">+A525</f>
        <v>EL PEÑOL, GUATAPÉ</v>
      </c>
      <c r="B526" t="str">
        <f t="shared" ref="B526:B566" si="25">+B525</f>
        <v>Finca Parcelación Alemania 1 El peñol, Guatapé</v>
      </c>
      <c r="G526" s="14">
        <v>46096</v>
      </c>
    </row>
    <row r="527" spans="1:7" hidden="1" x14ac:dyDescent="0.3">
      <c r="A527" t="str">
        <f t="shared" si="24"/>
        <v>EL PEÑOL, GUATAPÉ</v>
      </c>
      <c r="B527" t="str">
        <f t="shared" si="25"/>
        <v>Finca Parcelación Alemania 1 El peñol, Guatapé</v>
      </c>
      <c r="G527" s="14">
        <v>46097</v>
      </c>
    </row>
    <row r="528" spans="1:7" hidden="1" x14ac:dyDescent="0.3">
      <c r="A528" t="str">
        <f t="shared" si="24"/>
        <v>EL PEÑOL, GUATAPÉ</v>
      </c>
      <c r="B528" t="str">
        <f t="shared" si="25"/>
        <v>Finca Parcelación Alemania 1 El peñol, Guatapé</v>
      </c>
      <c r="G528" s="14">
        <v>46098</v>
      </c>
    </row>
    <row r="529" spans="1:7" hidden="1" x14ac:dyDescent="0.3">
      <c r="A529" t="str">
        <f t="shared" si="24"/>
        <v>EL PEÑOL, GUATAPÉ</v>
      </c>
      <c r="B529" t="str">
        <f t="shared" si="25"/>
        <v>Finca Parcelación Alemania 1 El peñol, Guatapé</v>
      </c>
      <c r="G529" s="14">
        <v>46099</v>
      </c>
    </row>
    <row r="530" spans="1:7" hidden="1" x14ac:dyDescent="0.3">
      <c r="A530" t="str">
        <f t="shared" si="24"/>
        <v>EL PEÑOL, GUATAPÉ</v>
      </c>
      <c r="B530" t="str">
        <f t="shared" si="25"/>
        <v>Finca Parcelación Alemania 1 El peñol, Guatapé</v>
      </c>
      <c r="G530" s="14">
        <v>46100</v>
      </c>
    </row>
    <row r="531" spans="1:7" hidden="1" x14ac:dyDescent="0.3">
      <c r="A531" t="str">
        <f t="shared" si="24"/>
        <v>EL PEÑOL, GUATAPÉ</v>
      </c>
      <c r="B531" t="str">
        <f t="shared" si="25"/>
        <v>Finca Parcelación Alemania 1 El peñol, Guatapé</v>
      </c>
      <c r="G531" s="14">
        <v>46101</v>
      </c>
    </row>
    <row r="532" spans="1:7" hidden="1" x14ac:dyDescent="0.3">
      <c r="A532" t="str">
        <f t="shared" si="24"/>
        <v>EL PEÑOL, GUATAPÉ</v>
      </c>
      <c r="B532" t="str">
        <f t="shared" si="25"/>
        <v>Finca Parcelación Alemania 1 El peñol, Guatapé</v>
      </c>
      <c r="G532" s="14">
        <v>46102</v>
      </c>
    </row>
    <row r="533" spans="1:7" hidden="1" x14ac:dyDescent="0.3">
      <c r="A533" t="str">
        <f t="shared" si="24"/>
        <v>EL PEÑOL, GUATAPÉ</v>
      </c>
      <c r="B533" t="str">
        <f t="shared" si="25"/>
        <v>Finca Parcelación Alemania 1 El peñol, Guatapé</v>
      </c>
      <c r="G533" s="14">
        <v>46103</v>
      </c>
    </row>
    <row r="534" spans="1:7" hidden="1" x14ac:dyDescent="0.3">
      <c r="A534" t="str">
        <f t="shared" si="24"/>
        <v>EL PEÑOL, GUATAPÉ</v>
      </c>
      <c r="B534" t="str">
        <f t="shared" si="25"/>
        <v>Finca Parcelación Alemania 1 El peñol, Guatapé</v>
      </c>
      <c r="G534" s="14">
        <v>46104</v>
      </c>
    </row>
    <row r="535" spans="1:7" hidden="1" x14ac:dyDescent="0.3">
      <c r="A535" t="str">
        <f t="shared" si="24"/>
        <v>EL PEÑOL, GUATAPÉ</v>
      </c>
      <c r="B535" t="str">
        <f t="shared" si="25"/>
        <v>Finca Parcelación Alemania 1 El peñol, Guatapé</v>
      </c>
      <c r="G535" s="14">
        <v>46105</v>
      </c>
    </row>
    <row r="536" spans="1:7" hidden="1" x14ac:dyDescent="0.3">
      <c r="A536" t="str">
        <f t="shared" si="24"/>
        <v>EL PEÑOL, GUATAPÉ</v>
      </c>
      <c r="B536" t="str">
        <f t="shared" si="25"/>
        <v>Finca Parcelación Alemania 1 El peñol, Guatapé</v>
      </c>
      <c r="G536" s="14">
        <v>46106</v>
      </c>
    </row>
    <row r="537" spans="1:7" hidden="1" x14ac:dyDescent="0.3">
      <c r="A537" t="str">
        <f t="shared" si="24"/>
        <v>EL PEÑOL, GUATAPÉ</v>
      </c>
      <c r="B537" t="str">
        <f t="shared" si="25"/>
        <v>Finca Parcelación Alemania 1 El peñol, Guatapé</v>
      </c>
      <c r="G537" s="14">
        <v>46107</v>
      </c>
    </row>
    <row r="538" spans="1:7" hidden="1" x14ac:dyDescent="0.3">
      <c r="A538" t="str">
        <f t="shared" si="24"/>
        <v>EL PEÑOL, GUATAPÉ</v>
      </c>
      <c r="B538" t="str">
        <f t="shared" si="25"/>
        <v>Finca Parcelación Alemania 1 El peñol, Guatapé</v>
      </c>
      <c r="G538" s="14">
        <v>46108</v>
      </c>
    </row>
    <row r="539" spans="1:7" hidden="1" x14ac:dyDescent="0.3">
      <c r="A539" t="str">
        <f t="shared" si="24"/>
        <v>EL PEÑOL, GUATAPÉ</v>
      </c>
      <c r="B539" t="str">
        <f t="shared" si="25"/>
        <v>Finca Parcelación Alemania 1 El peñol, Guatapé</v>
      </c>
      <c r="G539" s="14">
        <v>46109</v>
      </c>
    </row>
    <row r="540" spans="1:7" hidden="1" x14ac:dyDescent="0.3">
      <c r="A540" t="str">
        <f t="shared" si="24"/>
        <v>EL PEÑOL, GUATAPÉ</v>
      </c>
      <c r="B540" t="str">
        <f t="shared" si="25"/>
        <v>Finca Parcelación Alemania 1 El peñol, Guatapé</v>
      </c>
      <c r="G540" s="14">
        <v>46110</v>
      </c>
    </row>
    <row r="541" spans="1:7" hidden="1" x14ac:dyDescent="0.3">
      <c r="A541" t="str">
        <f t="shared" si="24"/>
        <v>EL PEÑOL, GUATAPÉ</v>
      </c>
      <c r="B541" t="str">
        <f t="shared" si="25"/>
        <v>Finca Parcelación Alemania 1 El peñol, Guatapé</v>
      </c>
      <c r="G541" s="14">
        <v>46111</v>
      </c>
    </row>
    <row r="542" spans="1:7" hidden="1" x14ac:dyDescent="0.3">
      <c r="A542" t="str">
        <f t="shared" si="24"/>
        <v>EL PEÑOL, GUATAPÉ</v>
      </c>
      <c r="B542" t="str">
        <f t="shared" si="25"/>
        <v>Finca Parcelación Alemania 1 El peñol, Guatapé</v>
      </c>
      <c r="G542" s="14">
        <v>46112</v>
      </c>
    </row>
    <row r="543" spans="1:7" hidden="1" x14ac:dyDescent="0.3">
      <c r="A543" t="str">
        <f t="shared" si="24"/>
        <v>EL PEÑOL, GUATAPÉ</v>
      </c>
      <c r="B543" t="str">
        <f t="shared" si="25"/>
        <v>Finca Parcelación Alemania 1 El peñol, Guatapé</v>
      </c>
      <c r="G543" s="14">
        <v>46113</v>
      </c>
    </row>
    <row r="544" spans="1:7" hidden="1" x14ac:dyDescent="0.3">
      <c r="A544" t="str">
        <f t="shared" si="24"/>
        <v>EL PEÑOL, GUATAPÉ</v>
      </c>
      <c r="B544" t="str">
        <f t="shared" si="25"/>
        <v>Finca Parcelación Alemania 1 El peñol, Guatapé</v>
      </c>
      <c r="G544" s="14">
        <v>46114</v>
      </c>
    </row>
    <row r="545" spans="1:7" hidden="1" x14ac:dyDescent="0.3">
      <c r="A545" t="str">
        <f t="shared" si="24"/>
        <v>EL PEÑOL, GUATAPÉ</v>
      </c>
      <c r="B545" t="str">
        <f t="shared" si="25"/>
        <v>Finca Parcelación Alemania 1 El peñol, Guatapé</v>
      </c>
      <c r="G545" s="14">
        <v>46115</v>
      </c>
    </row>
    <row r="546" spans="1:7" hidden="1" x14ac:dyDescent="0.3">
      <c r="A546" t="str">
        <f t="shared" si="24"/>
        <v>EL PEÑOL, GUATAPÉ</v>
      </c>
      <c r="B546" t="str">
        <f t="shared" si="25"/>
        <v>Finca Parcelación Alemania 1 El peñol, Guatapé</v>
      </c>
      <c r="G546" s="14">
        <v>46116</v>
      </c>
    </row>
    <row r="547" spans="1:7" hidden="1" x14ac:dyDescent="0.3">
      <c r="A547" t="str">
        <f t="shared" si="24"/>
        <v>EL PEÑOL, GUATAPÉ</v>
      </c>
      <c r="B547" t="str">
        <f t="shared" si="25"/>
        <v>Finca Parcelación Alemania 1 El peñol, Guatapé</v>
      </c>
      <c r="G547" s="14">
        <v>46117</v>
      </c>
    </row>
    <row r="548" spans="1:7" hidden="1" x14ac:dyDescent="0.3">
      <c r="A548" t="str">
        <f t="shared" si="24"/>
        <v>EL PEÑOL, GUATAPÉ</v>
      </c>
      <c r="B548" t="str">
        <f t="shared" si="25"/>
        <v>Finca Parcelación Alemania 1 El peñol, Guatapé</v>
      </c>
      <c r="G548" s="14">
        <v>46118</v>
      </c>
    </row>
    <row r="549" spans="1:7" hidden="1" x14ac:dyDescent="0.3">
      <c r="A549" t="str">
        <f t="shared" si="24"/>
        <v>EL PEÑOL, GUATAPÉ</v>
      </c>
      <c r="B549" t="str">
        <f t="shared" si="25"/>
        <v>Finca Parcelación Alemania 1 El peñol, Guatapé</v>
      </c>
      <c r="G549" s="14">
        <v>46119</v>
      </c>
    </row>
    <row r="550" spans="1:7" hidden="1" x14ac:dyDescent="0.3">
      <c r="A550" t="str">
        <f t="shared" si="24"/>
        <v>EL PEÑOL, GUATAPÉ</v>
      </c>
      <c r="B550" t="str">
        <f t="shared" si="25"/>
        <v>Finca Parcelación Alemania 1 El peñol, Guatapé</v>
      </c>
      <c r="G550" s="14">
        <v>46120</v>
      </c>
    </row>
    <row r="551" spans="1:7" hidden="1" x14ac:dyDescent="0.3">
      <c r="A551" t="str">
        <f t="shared" si="24"/>
        <v>EL PEÑOL, GUATAPÉ</v>
      </c>
      <c r="B551" t="str">
        <f t="shared" si="25"/>
        <v>Finca Parcelación Alemania 1 El peñol, Guatapé</v>
      </c>
      <c r="G551" s="14">
        <v>46121</v>
      </c>
    </row>
    <row r="552" spans="1:7" hidden="1" x14ac:dyDescent="0.3">
      <c r="A552" t="str">
        <f t="shared" si="24"/>
        <v>EL PEÑOL, GUATAPÉ</v>
      </c>
      <c r="B552" t="str">
        <f t="shared" si="25"/>
        <v>Finca Parcelación Alemania 1 El peñol, Guatapé</v>
      </c>
      <c r="G552" s="14">
        <v>46122</v>
      </c>
    </row>
    <row r="553" spans="1:7" hidden="1" x14ac:dyDescent="0.3">
      <c r="A553" t="str">
        <f t="shared" si="24"/>
        <v>EL PEÑOL, GUATAPÉ</v>
      </c>
      <c r="B553" t="str">
        <f t="shared" si="25"/>
        <v>Finca Parcelación Alemania 1 El peñol, Guatapé</v>
      </c>
      <c r="G553" s="14">
        <v>46123</v>
      </c>
    </row>
    <row r="554" spans="1:7" hidden="1" x14ac:dyDescent="0.3">
      <c r="A554" t="str">
        <f t="shared" si="24"/>
        <v>EL PEÑOL, GUATAPÉ</v>
      </c>
      <c r="B554" t="str">
        <f t="shared" si="25"/>
        <v>Finca Parcelación Alemania 1 El peñol, Guatapé</v>
      </c>
      <c r="G554" s="14">
        <v>46124</v>
      </c>
    </row>
    <row r="555" spans="1:7" hidden="1" x14ac:dyDescent="0.3">
      <c r="A555" t="str">
        <f t="shared" si="24"/>
        <v>EL PEÑOL, GUATAPÉ</v>
      </c>
      <c r="B555" t="str">
        <f t="shared" si="25"/>
        <v>Finca Parcelación Alemania 1 El peñol, Guatapé</v>
      </c>
      <c r="G555" s="14">
        <v>46125</v>
      </c>
    </row>
    <row r="556" spans="1:7" hidden="1" x14ac:dyDescent="0.3">
      <c r="A556" t="str">
        <f t="shared" si="24"/>
        <v>EL PEÑOL, GUATAPÉ</v>
      </c>
      <c r="B556" t="str">
        <f t="shared" si="25"/>
        <v>Finca Parcelación Alemania 1 El peñol, Guatapé</v>
      </c>
      <c r="G556" s="14">
        <v>46126</v>
      </c>
    </row>
    <row r="557" spans="1:7" hidden="1" x14ac:dyDescent="0.3">
      <c r="A557" t="str">
        <f t="shared" si="24"/>
        <v>EL PEÑOL, GUATAPÉ</v>
      </c>
      <c r="B557" t="str">
        <f t="shared" si="25"/>
        <v>Finca Parcelación Alemania 1 El peñol, Guatapé</v>
      </c>
      <c r="G557" s="14">
        <v>46127</v>
      </c>
    </row>
    <row r="558" spans="1:7" hidden="1" x14ac:dyDescent="0.3">
      <c r="A558" t="str">
        <f t="shared" si="24"/>
        <v>EL PEÑOL, GUATAPÉ</v>
      </c>
      <c r="B558" t="str">
        <f t="shared" si="25"/>
        <v>Finca Parcelación Alemania 1 El peñol, Guatapé</v>
      </c>
      <c r="G558" s="14">
        <v>46128</v>
      </c>
    </row>
    <row r="559" spans="1:7" hidden="1" x14ac:dyDescent="0.3">
      <c r="A559" t="str">
        <f t="shared" si="24"/>
        <v>EL PEÑOL, GUATAPÉ</v>
      </c>
      <c r="B559" t="str">
        <f t="shared" si="25"/>
        <v>Finca Parcelación Alemania 1 El peñol, Guatapé</v>
      </c>
      <c r="G559" s="14">
        <v>46129</v>
      </c>
    </row>
    <row r="560" spans="1:7" hidden="1" x14ac:dyDescent="0.3">
      <c r="A560" t="str">
        <f t="shared" si="24"/>
        <v>EL PEÑOL, GUATAPÉ</v>
      </c>
      <c r="B560" t="str">
        <f t="shared" si="25"/>
        <v>Finca Parcelación Alemania 1 El peñol, Guatapé</v>
      </c>
      <c r="G560" s="14">
        <v>46130</v>
      </c>
    </row>
    <row r="561" spans="1:7" hidden="1" x14ac:dyDescent="0.3">
      <c r="A561" t="str">
        <f t="shared" si="24"/>
        <v>EL PEÑOL, GUATAPÉ</v>
      </c>
      <c r="B561" t="str">
        <f t="shared" si="25"/>
        <v>Finca Parcelación Alemania 1 El peñol, Guatapé</v>
      </c>
      <c r="G561" s="14">
        <v>46131</v>
      </c>
    </row>
    <row r="562" spans="1:7" hidden="1" x14ac:dyDescent="0.3">
      <c r="A562" t="str">
        <f t="shared" si="24"/>
        <v>EL PEÑOL, GUATAPÉ</v>
      </c>
      <c r="B562" t="str">
        <f t="shared" si="25"/>
        <v>Finca Parcelación Alemania 1 El peñol, Guatapé</v>
      </c>
      <c r="G562" s="14">
        <v>46132</v>
      </c>
    </row>
    <row r="563" spans="1:7" hidden="1" x14ac:dyDescent="0.3">
      <c r="A563" t="str">
        <f t="shared" si="24"/>
        <v>EL PEÑOL, GUATAPÉ</v>
      </c>
      <c r="B563" t="str">
        <f t="shared" si="25"/>
        <v>Finca Parcelación Alemania 1 El peñol, Guatapé</v>
      </c>
      <c r="G563" s="14">
        <v>46133</v>
      </c>
    </row>
    <row r="564" spans="1:7" hidden="1" x14ac:dyDescent="0.3">
      <c r="A564" t="str">
        <f t="shared" si="24"/>
        <v>EL PEÑOL, GUATAPÉ</v>
      </c>
      <c r="B564" t="str">
        <f t="shared" si="25"/>
        <v>Finca Parcelación Alemania 1 El peñol, Guatapé</v>
      </c>
      <c r="G564" s="14">
        <v>46134</v>
      </c>
    </row>
    <row r="565" spans="1:7" hidden="1" x14ac:dyDescent="0.3">
      <c r="A565" t="str">
        <f t="shared" si="24"/>
        <v>EL PEÑOL, GUATAPÉ</v>
      </c>
      <c r="B565" t="str">
        <f t="shared" si="25"/>
        <v>Finca Parcelación Alemania 1 El peñol, Guatapé</v>
      </c>
      <c r="G565" s="14">
        <v>46135</v>
      </c>
    </row>
    <row r="566" spans="1:7" hidden="1" x14ac:dyDescent="0.3">
      <c r="A566" t="str">
        <f t="shared" si="24"/>
        <v>EL PEÑOL, GUATAPÉ</v>
      </c>
      <c r="B566" t="str">
        <f t="shared" si="25"/>
        <v>Finca Parcelación Alemania 1 El peñol, Guatapé</v>
      </c>
      <c r="G566" s="14">
        <v>46136</v>
      </c>
    </row>
    <row r="567" spans="1:7" hidden="1" x14ac:dyDescent="0.3">
      <c r="A567" t="s">
        <v>8</v>
      </c>
      <c r="B567" t="s">
        <v>22</v>
      </c>
      <c r="G567" s="14">
        <v>46137</v>
      </c>
    </row>
    <row r="568" spans="1:7" hidden="1" x14ac:dyDescent="0.3">
      <c r="A568" t="str">
        <f t="shared" ref="A568:A599" si="26">+A567</f>
        <v>EL PEÑOL, GUATAPÉ</v>
      </c>
      <c r="B568" t="str">
        <f t="shared" ref="B568:B599" si="27">+B567</f>
        <v>Finca la Marina el peñol,Guatapé</v>
      </c>
      <c r="G568" s="14">
        <v>46138</v>
      </c>
    </row>
    <row r="569" spans="1:7" hidden="1" x14ac:dyDescent="0.3">
      <c r="A569" t="str">
        <f t="shared" si="26"/>
        <v>EL PEÑOL, GUATAPÉ</v>
      </c>
      <c r="B569" t="str">
        <f t="shared" si="27"/>
        <v>Finca la Marina el peñol,Guatapé</v>
      </c>
      <c r="G569" s="14">
        <v>46139</v>
      </c>
    </row>
    <row r="570" spans="1:7" hidden="1" x14ac:dyDescent="0.3">
      <c r="A570" t="str">
        <f t="shared" si="26"/>
        <v>EL PEÑOL, GUATAPÉ</v>
      </c>
      <c r="B570" t="str">
        <f t="shared" si="27"/>
        <v>Finca la Marina el peñol,Guatapé</v>
      </c>
      <c r="G570" s="14">
        <v>46140</v>
      </c>
    </row>
    <row r="571" spans="1:7" hidden="1" x14ac:dyDescent="0.3">
      <c r="A571" t="str">
        <f t="shared" si="26"/>
        <v>EL PEÑOL, GUATAPÉ</v>
      </c>
      <c r="B571" t="str">
        <f t="shared" si="27"/>
        <v>Finca la Marina el peñol,Guatapé</v>
      </c>
      <c r="G571" s="14">
        <v>46141</v>
      </c>
    </row>
    <row r="572" spans="1:7" hidden="1" x14ac:dyDescent="0.3">
      <c r="A572" t="str">
        <f t="shared" si="26"/>
        <v>EL PEÑOL, GUATAPÉ</v>
      </c>
      <c r="B572" t="str">
        <f t="shared" si="27"/>
        <v>Finca la Marina el peñol,Guatapé</v>
      </c>
      <c r="G572" s="14">
        <v>46142</v>
      </c>
    </row>
    <row r="573" spans="1:7" hidden="1" x14ac:dyDescent="0.3">
      <c r="A573" t="str">
        <f t="shared" si="26"/>
        <v>EL PEÑOL, GUATAPÉ</v>
      </c>
      <c r="B573" t="str">
        <f t="shared" si="27"/>
        <v>Finca la Marina el peñol,Guatapé</v>
      </c>
      <c r="G573" s="14">
        <v>46143</v>
      </c>
    </row>
    <row r="574" spans="1:7" hidden="1" x14ac:dyDescent="0.3">
      <c r="A574" t="str">
        <f t="shared" si="26"/>
        <v>EL PEÑOL, GUATAPÉ</v>
      </c>
      <c r="B574" t="str">
        <f t="shared" si="27"/>
        <v>Finca la Marina el peñol,Guatapé</v>
      </c>
      <c r="G574" s="14">
        <v>46144</v>
      </c>
    </row>
    <row r="575" spans="1:7" hidden="1" x14ac:dyDescent="0.3">
      <c r="A575" t="str">
        <f t="shared" si="26"/>
        <v>EL PEÑOL, GUATAPÉ</v>
      </c>
      <c r="B575" t="str">
        <f t="shared" si="27"/>
        <v>Finca la Marina el peñol,Guatapé</v>
      </c>
      <c r="G575" s="14">
        <v>46145</v>
      </c>
    </row>
    <row r="576" spans="1:7" hidden="1" x14ac:dyDescent="0.3">
      <c r="A576" t="str">
        <f t="shared" si="26"/>
        <v>EL PEÑOL, GUATAPÉ</v>
      </c>
      <c r="B576" t="str">
        <f t="shared" si="27"/>
        <v>Finca la Marina el peñol,Guatapé</v>
      </c>
      <c r="G576" s="14">
        <v>46146</v>
      </c>
    </row>
    <row r="577" spans="1:7" hidden="1" x14ac:dyDescent="0.3">
      <c r="A577" t="str">
        <f t="shared" si="26"/>
        <v>EL PEÑOL, GUATAPÉ</v>
      </c>
      <c r="B577" t="str">
        <f t="shared" si="27"/>
        <v>Finca la Marina el peñol,Guatapé</v>
      </c>
      <c r="G577" s="14">
        <v>46147</v>
      </c>
    </row>
    <row r="578" spans="1:7" hidden="1" x14ac:dyDescent="0.3">
      <c r="A578" t="str">
        <f t="shared" si="26"/>
        <v>EL PEÑOL, GUATAPÉ</v>
      </c>
      <c r="B578" t="str">
        <f t="shared" si="27"/>
        <v>Finca la Marina el peñol,Guatapé</v>
      </c>
      <c r="G578" s="14">
        <v>46148</v>
      </c>
    </row>
    <row r="579" spans="1:7" hidden="1" x14ac:dyDescent="0.3">
      <c r="A579" t="str">
        <f t="shared" si="26"/>
        <v>EL PEÑOL, GUATAPÉ</v>
      </c>
      <c r="B579" t="str">
        <f t="shared" si="27"/>
        <v>Finca la Marina el peñol,Guatapé</v>
      </c>
      <c r="G579" s="14">
        <v>46149</v>
      </c>
    </row>
    <row r="580" spans="1:7" hidden="1" x14ac:dyDescent="0.3">
      <c r="A580" t="str">
        <f t="shared" si="26"/>
        <v>EL PEÑOL, GUATAPÉ</v>
      </c>
      <c r="B580" t="str">
        <f t="shared" si="27"/>
        <v>Finca la Marina el peñol,Guatapé</v>
      </c>
      <c r="G580" s="14">
        <v>46150</v>
      </c>
    </row>
    <row r="581" spans="1:7" hidden="1" x14ac:dyDescent="0.3">
      <c r="A581" t="str">
        <f t="shared" si="26"/>
        <v>EL PEÑOL, GUATAPÉ</v>
      </c>
      <c r="B581" t="str">
        <f t="shared" si="27"/>
        <v>Finca la Marina el peñol,Guatapé</v>
      </c>
      <c r="G581" s="14">
        <v>46151</v>
      </c>
    </row>
    <row r="582" spans="1:7" hidden="1" x14ac:dyDescent="0.3">
      <c r="A582" t="str">
        <f t="shared" si="26"/>
        <v>EL PEÑOL, GUATAPÉ</v>
      </c>
      <c r="B582" t="str">
        <f t="shared" si="27"/>
        <v>Finca la Marina el peñol,Guatapé</v>
      </c>
      <c r="G582" s="14">
        <v>46152</v>
      </c>
    </row>
    <row r="583" spans="1:7" hidden="1" x14ac:dyDescent="0.3">
      <c r="A583" t="str">
        <f t="shared" si="26"/>
        <v>EL PEÑOL, GUATAPÉ</v>
      </c>
      <c r="B583" t="str">
        <f t="shared" si="27"/>
        <v>Finca la Marina el peñol,Guatapé</v>
      </c>
      <c r="G583" s="14">
        <v>46153</v>
      </c>
    </row>
    <row r="584" spans="1:7" hidden="1" x14ac:dyDescent="0.3">
      <c r="A584" t="str">
        <f t="shared" si="26"/>
        <v>EL PEÑOL, GUATAPÉ</v>
      </c>
      <c r="B584" t="str">
        <f t="shared" si="27"/>
        <v>Finca la Marina el peñol,Guatapé</v>
      </c>
      <c r="G584" s="14">
        <v>46154</v>
      </c>
    </row>
    <row r="585" spans="1:7" hidden="1" x14ac:dyDescent="0.3">
      <c r="A585" t="str">
        <f t="shared" si="26"/>
        <v>EL PEÑOL, GUATAPÉ</v>
      </c>
      <c r="B585" t="str">
        <f t="shared" si="27"/>
        <v>Finca la Marina el peñol,Guatapé</v>
      </c>
      <c r="G585" s="14">
        <v>46155</v>
      </c>
    </row>
    <row r="586" spans="1:7" hidden="1" x14ac:dyDescent="0.3">
      <c r="A586" t="str">
        <f t="shared" si="26"/>
        <v>EL PEÑOL, GUATAPÉ</v>
      </c>
      <c r="B586" t="str">
        <f t="shared" si="27"/>
        <v>Finca la Marina el peñol,Guatapé</v>
      </c>
      <c r="G586" s="14">
        <v>46156</v>
      </c>
    </row>
    <row r="587" spans="1:7" hidden="1" x14ac:dyDescent="0.3">
      <c r="A587" t="str">
        <f t="shared" si="26"/>
        <v>EL PEÑOL, GUATAPÉ</v>
      </c>
      <c r="B587" t="str">
        <f t="shared" si="27"/>
        <v>Finca la Marina el peñol,Guatapé</v>
      </c>
      <c r="G587" s="14">
        <v>46157</v>
      </c>
    </row>
    <row r="588" spans="1:7" hidden="1" x14ac:dyDescent="0.3">
      <c r="A588" t="str">
        <f t="shared" si="26"/>
        <v>EL PEÑOL, GUATAPÉ</v>
      </c>
      <c r="B588" t="str">
        <f t="shared" si="27"/>
        <v>Finca la Marina el peñol,Guatapé</v>
      </c>
      <c r="G588" s="14">
        <v>46158</v>
      </c>
    </row>
    <row r="589" spans="1:7" hidden="1" x14ac:dyDescent="0.3">
      <c r="A589" t="str">
        <f t="shared" si="26"/>
        <v>EL PEÑOL, GUATAPÉ</v>
      </c>
      <c r="B589" t="str">
        <f t="shared" si="27"/>
        <v>Finca la Marina el peñol,Guatapé</v>
      </c>
      <c r="G589" s="14">
        <v>46159</v>
      </c>
    </row>
    <row r="590" spans="1:7" hidden="1" x14ac:dyDescent="0.3">
      <c r="A590" t="str">
        <f t="shared" si="26"/>
        <v>EL PEÑOL, GUATAPÉ</v>
      </c>
      <c r="B590" t="str">
        <f t="shared" si="27"/>
        <v>Finca la Marina el peñol,Guatapé</v>
      </c>
      <c r="G590" s="14">
        <v>46160</v>
      </c>
    </row>
    <row r="591" spans="1:7" hidden="1" x14ac:dyDescent="0.3">
      <c r="A591" t="str">
        <f t="shared" si="26"/>
        <v>EL PEÑOL, GUATAPÉ</v>
      </c>
      <c r="B591" t="str">
        <f t="shared" si="27"/>
        <v>Finca la Marina el peñol,Guatapé</v>
      </c>
      <c r="G591" s="14">
        <v>46161</v>
      </c>
    </row>
    <row r="592" spans="1:7" hidden="1" x14ac:dyDescent="0.3">
      <c r="A592" t="str">
        <f t="shared" si="26"/>
        <v>EL PEÑOL, GUATAPÉ</v>
      </c>
      <c r="B592" t="str">
        <f t="shared" si="27"/>
        <v>Finca la Marina el peñol,Guatapé</v>
      </c>
      <c r="G592" s="14">
        <v>46162</v>
      </c>
    </row>
    <row r="593" spans="1:7" hidden="1" x14ac:dyDescent="0.3">
      <c r="A593" t="str">
        <f t="shared" si="26"/>
        <v>EL PEÑOL, GUATAPÉ</v>
      </c>
      <c r="B593" t="str">
        <f t="shared" si="27"/>
        <v>Finca la Marina el peñol,Guatapé</v>
      </c>
      <c r="G593" s="14">
        <v>46163</v>
      </c>
    </row>
    <row r="594" spans="1:7" hidden="1" x14ac:dyDescent="0.3">
      <c r="A594" t="str">
        <f t="shared" si="26"/>
        <v>EL PEÑOL, GUATAPÉ</v>
      </c>
      <c r="B594" t="str">
        <f t="shared" si="27"/>
        <v>Finca la Marina el peñol,Guatapé</v>
      </c>
      <c r="G594" s="14">
        <v>46164</v>
      </c>
    </row>
    <row r="595" spans="1:7" hidden="1" x14ac:dyDescent="0.3">
      <c r="A595" t="str">
        <f t="shared" si="26"/>
        <v>EL PEÑOL, GUATAPÉ</v>
      </c>
      <c r="B595" t="str">
        <f t="shared" si="27"/>
        <v>Finca la Marina el peñol,Guatapé</v>
      </c>
      <c r="G595" s="14">
        <v>46165</v>
      </c>
    </row>
    <row r="596" spans="1:7" hidden="1" x14ac:dyDescent="0.3">
      <c r="A596" t="str">
        <f t="shared" si="26"/>
        <v>EL PEÑOL, GUATAPÉ</v>
      </c>
      <c r="B596" t="str">
        <f t="shared" si="27"/>
        <v>Finca la Marina el peñol,Guatapé</v>
      </c>
      <c r="G596" s="14">
        <v>46166</v>
      </c>
    </row>
    <row r="597" spans="1:7" hidden="1" x14ac:dyDescent="0.3">
      <c r="A597" t="str">
        <f t="shared" si="26"/>
        <v>EL PEÑOL, GUATAPÉ</v>
      </c>
      <c r="B597" t="str">
        <f t="shared" si="27"/>
        <v>Finca la Marina el peñol,Guatapé</v>
      </c>
      <c r="G597" s="14">
        <v>46167</v>
      </c>
    </row>
    <row r="598" spans="1:7" hidden="1" x14ac:dyDescent="0.3">
      <c r="A598" t="str">
        <f t="shared" si="26"/>
        <v>EL PEÑOL, GUATAPÉ</v>
      </c>
      <c r="B598" t="str">
        <f t="shared" si="27"/>
        <v>Finca la Marina el peñol,Guatapé</v>
      </c>
      <c r="G598" s="14">
        <v>46168</v>
      </c>
    </row>
    <row r="599" spans="1:7" hidden="1" x14ac:dyDescent="0.3">
      <c r="A599" t="str">
        <f t="shared" si="26"/>
        <v>EL PEÑOL, GUATAPÉ</v>
      </c>
      <c r="B599" t="str">
        <f t="shared" si="27"/>
        <v>Finca la Marina el peñol,Guatapé</v>
      </c>
      <c r="G599" s="14">
        <v>46169</v>
      </c>
    </row>
    <row r="600" spans="1:7" hidden="1" x14ac:dyDescent="0.3">
      <c r="A600" t="str">
        <f t="shared" ref="A600:A631" si="28">+A599</f>
        <v>EL PEÑOL, GUATAPÉ</v>
      </c>
      <c r="B600" t="str">
        <f t="shared" ref="B600:B631" si="29">+B599</f>
        <v>Finca la Marina el peñol,Guatapé</v>
      </c>
      <c r="G600" s="14">
        <v>46170</v>
      </c>
    </row>
    <row r="601" spans="1:7" hidden="1" x14ac:dyDescent="0.3">
      <c r="A601" t="str">
        <f t="shared" si="28"/>
        <v>EL PEÑOL, GUATAPÉ</v>
      </c>
      <c r="B601" t="str">
        <f t="shared" si="29"/>
        <v>Finca la Marina el peñol,Guatapé</v>
      </c>
      <c r="G601" s="14">
        <v>46171</v>
      </c>
    </row>
    <row r="602" spans="1:7" hidden="1" x14ac:dyDescent="0.3">
      <c r="A602" t="str">
        <f t="shared" si="28"/>
        <v>EL PEÑOL, GUATAPÉ</v>
      </c>
      <c r="B602" t="str">
        <f t="shared" si="29"/>
        <v>Finca la Marina el peñol,Guatapé</v>
      </c>
      <c r="G602" s="14">
        <v>46172</v>
      </c>
    </row>
    <row r="603" spans="1:7" hidden="1" x14ac:dyDescent="0.3">
      <c r="A603" t="str">
        <f t="shared" si="28"/>
        <v>EL PEÑOL, GUATAPÉ</v>
      </c>
      <c r="B603" t="str">
        <f t="shared" si="29"/>
        <v>Finca la Marina el peñol,Guatapé</v>
      </c>
      <c r="G603" s="14">
        <v>46173</v>
      </c>
    </row>
    <row r="604" spans="1:7" hidden="1" x14ac:dyDescent="0.3">
      <c r="A604" t="str">
        <f t="shared" si="28"/>
        <v>EL PEÑOL, GUATAPÉ</v>
      </c>
      <c r="B604" t="str">
        <f t="shared" si="29"/>
        <v>Finca la Marina el peñol,Guatapé</v>
      </c>
      <c r="G604" s="14">
        <v>46174</v>
      </c>
    </row>
    <row r="605" spans="1:7" hidden="1" x14ac:dyDescent="0.3">
      <c r="A605" t="str">
        <f t="shared" si="28"/>
        <v>EL PEÑOL, GUATAPÉ</v>
      </c>
      <c r="B605" t="str">
        <f t="shared" si="29"/>
        <v>Finca la Marina el peñol,Guatapé</v>
      </c>
      <c r="G605" s="14">
        <v>46175</v>
      </c>
    </row>
    <row r="606" spans="1:7" hidden="1" x14ac:dyDescent="0.3">
      <c r="A606" t="str">
        <f t="shared" si="28"/>
        <v>EL PEÑOL, GUATAPÉ</v>
      </c>
      <c r="B606" t="str">
        <f t="shared" si="29"/>
        <v>Finca la Marina el peñol,Guatapé</v>
      </c>
      <c r="G606" s="14">
        <v>46176</v>
      </c>
    </row>
    <row r="607" spans="1:7" hidden="1" x14ac:dyDescent="0.3">
      <c r="A607" t="str">
        <f t="shared" si="28"/>
        <v>EL PEÑOL, GUATAPÉ</v>
      </c>
      <c r="B607" t="str">
        <f t="shared" si="29"/>
        <v>Finca la Marina el peñol,Guatapé</v>
      </c>
      <c r="G607" s="14">
        <v>46177</v>
      </c>
    </row>
    <row r="608" spans="1:7" hidden="1" x14ac:dyDescent="0.3">
      <c r="A608" t="str">
        <f t="shared" si="28"/>
        <v>EL PEÑOL, GUATAPÉ</v>
      </c>
      <c r="B608" t="str">
        <f t="shared" si="29"/>
        <v>Finca la Marina el peñol,Guatapé</v>
      </c>
      <c r="G608" s="14">
        <v>46178</v>
      </c>
    </row>
    <row r="609" spans="1:7" ht="15" hidden="1" customHeight="1" x14ac:dyDescent="0.3">
      <c r="A609" t="str">
        <f t="shared" si="28"/>
        <v>EL PEÑOL, GUATAPÉ</v>
      </c>
      <c r="B609" t="str">
        <f t="shared" si="29"/>
        <v>Finca la Marina el peñol,Guatapé</v>
      </c>
      <c r="G609" s="14">
        <v>46179</v>
      </c>
    </row>
    <row r="610" spans="1:7" ht="15" hidden="1" customHeight="1" x14ac:dyDescent="0.3">
      <c r="A610" t="str">
        <f t="shared" si="28"/>
        <v>EL PEÑOL, GUATAPÉ</v>
      </c>
      <c r="B610" t="str">
        <f t="shared" si="29"/>
        <v>Finca la Marina el peñol,Guatapé</v>
      </c>
      <c r="G610" s="14">
        <v>46180</v>
      </c>
    </row>
    <row r="611" spans="1:7" ht="15" hidden="1" customHeight="1" x14ac:dyDescent="0.3">
      <c r="A611" t="str">
        <f t="shared" si="28"/>
        <v>EL PEÑOL, GUATAPÉ</v>
      </c>
      <c r="B611" t="str">
        <f t="shared" si="29"/>
        <v>Finca la Marina el peñol,Guatapé</v>
      </c>
      <c r="G611" s="14">
        <v>46181</v>
      </c>
    </row>
    <row r="612" spans="1:7" ht="15" hidden="1" customHeight="1" x14ac:dyDescent="0.3">
      <c r="A612" t="str">
        <f t="shared" si="28"/>
        <v>EL PEÑOL, GUATAPÉ</v>
      </c>
      <c r="B612" t="str">
        <f t="shared" si="29"/>
        <v>Finca la Marina el peñol,Guatapé</v>
      </c>
      <c r="G612" s="14">
        <v>46182</v>
      </c>
    </row>
    <row r="613" spans="1:7" ht="15" hidden="1" customHeight="1" x14ac:dyDescent="0.3">
      <c r="A613" t="str">
        <f t="shared" si="28"/>
        <v>EL PEÑOL, GUATAPÉ</v>
      </c>
      <c r="B613" t="str">
        <f t="shared" si="29"/>
        <v>Finca la Marina el peñol,Guatapé</v>
      </c>
      <c r="G613" s="14">
        <v>46183</v>
      </c>
    </row>
    <row r="614" spans="1:7" ht="15" hidden="1" customHeight="1" x14ac:dyDescent="0.3">
      <c r="A614" t="str">
        <f t="shared" si="28"/>
        <v>EL PEÑOL, GUATAPÉ</v>
      </c>
      <c r="B614" t="str">
        <f t="shared" si="29"/>
        <v>Finca la Marina el peñol,Guatapé</v>
      </c>
      <c r="G614" s="14">
        <v>46184</v>
      </c>
    </row>
    <row r="615" spans="1:7" ht="15" hidden="1" customHeight="1" x14ac:dyDescent="0.3">
      <c r="A615" t="str">
        <f t="shared" si="28"/>
        <v>EL PEÑOL, GUATAPÉ</v>
      </c>
      <c r="B615" t="str">
        <f t="shared" si="29"/>
        <v>Finca la Marina el peñol,Guatapé</v>
      </c>
      <c r="G615" s="14">
        <v>46185</v>
      </c>
    </row>
    <row r="616" spans="1:7" ht="15" hidden="1" customHeight="1" x14ac:dyDescent="0.3">
      <c r="A616" t="str">
        <f t="shared" si="28"/>
        <v>EL PEÑOL, GUATAPÉ</v>
      </c>
      <c r="B616" t="str">
        <f t="shared" si="29"/>
        <v>Finca la Marina el peñol,Guatapé</v>
      </c>
      <c r="G616" s="14">
        <v>46186</v>
      </c>
    </row>
    <row r="617" spans="1:7" ht="15" hidden="1" customHeight="1" x14ac:dyDescent="0.3">
      <c r="A617" t="str">
        <f t="shared" si="28"/>
        <v>EL PEÑOL, GUATAPÉ</v>
      </c>
      <c r="B617" t="str">
        <f t="shared" si="29"/>
        <v>Finca la Marina el peñol,Guatapé</v>
      </c>
      <c r="G617" s="14">
        <v>46187</v>
      </c>
    </row>
    <row r="618" spans="1:7" ht="15" hidden="1" customHeight="1" x14ac:dyDescent="0.3">
      <c r="A618" t="str">
        <f t="shared" si="28"/>
        <v>EL PEÑOL, GUATAPÉ</v>
      </c>
      <c r="B618" t="str">
        <f t="shared" si="29"/>
        <v>Finca la Marina el peñol,Guatapé</v>
      </c>
      <c r="G618" s="14">
        <v>46188</v>
      </c>
    </row>
    <row r="619" spans="1:7" ht="15" hidden="1" customHeight="1" x14ac:dyDescent="0.3">
      <c r="A619" t="str">
        <f t="shared" si="28"/>
        <v>EL PEÑOL, GUATAPÉ</v>
      </c>
      <c r="B619" t="str">
        <f t="shared" si="29"/>
        <v>Finca la Marina el peñol,Guatapé</v>
      </c>
      <c r="G619" s="14">
        <v>46189</v>
      </c>
    </row>
    <row r="620" spans="1:7" ht="15" hidden="1" customHeight="1" x14ac:dyDescent="0.3">
      <c r="A620" t="str">
        <f t="shared" si="28"/>
        <v>EL PEÑOL, GUATAPÉ</v>
      </c>
      <c r="B620" t="str">
        <f t="shared" si="29"/>
        <v>Finca la Marina el peñol,Guatapé</v>
      </c>
      <c r="G620" s="14">
        <v>46190</v>
      </c>
    </row>
    <row r="621" spans="1:7" ht="15" hidden="1" customHeight="1" x14ac:dyDescent="0.3">
      <c r="A621" t="str">
        <f t="shared" si="28"/>
        <v>EL PEÑOL, GUATAPÉ</v>
      </c>
      <c r="B621" t="str">
        <f t="shared" si="29"/>
        <v>Finca la Marina el peñol,Guatapé</v>
      </c>
      <c r="G621" s="14">
        <v>46191</v>
      </c>
    </row>
    <row r="622" spans="1:7" ht="15" hidden="1" customHeight="1" x14ac:dyDescent="0.3">
      <c r="A622" t="str">
        <f t="shared" si="28"/>
        <v>EL PEÑOL, GUATAPÉ</v>
      </c>
      <c r="B622" t="str">
        <f t="shared" si="29"/>
        <v>Finca la Marina el peñol,Guatapé</v>
      </c>
      <c r="G622" s="14">
        <v>46192</v>
      </c>
    </row>
    <row r="623" spans="1:7" ht="15" hidden="1" customHeight="1" x14ac:dyDescent="0.3">
      <c r="A623" t="str">
        <f t="shared" si="28"/>
        <v>EL PEÑOL, GUATAPÉ</v>
      </c>
      <c r="B623" t="str">
        <f t="shared" si="29"/>
        <v>Finca la Marina el peñol,Guatapé</v>
      </c>
      <c r="G623" s="14">
        <v>46193</v>
      </c>
    </row>
    <row r="624" spans="1:7" ht="15" hidden="1" customHeight="1" x14ac:dyDescent="0.3">
      <c r="A624" t="str">
        <f t="shared" si="28"/>
        <v>EL PEÑOL, GUATAPÉ</v>
      </c>
      <c r="B624" t="str">
        <f t="shared" si="29"/>
        <v>Finca la Marina el peñol,Guatapé</v>
      </c>
      <c r="G624" s="14">
        <v>46194</v>
      </c>
    </row>
    <row r="625" spans="1:7" ht="15" hidden="1" customHeight="1" x14ac:dyDescent="0.3">
      <c r="A625" t="str">
        <f t="shared" si="28"/>
        <v>EL PEÑOL, GUATAPÉ</v>
      </c>
      <c r="B625" t="str">
        <f t="shared" si="29"/>
        <v>Finca la Marina el peñol,Guatapé</v>
      </c>
      <c r="G625" s="14">
        <v>46195</v>
      </c>
    </row>
    <row r="626" spans="1:7" ht="15" hidden="1" customHeight="1" x14ac:dyDescent="0.3">
      <c r="A626" t="str">
        <f t="shared" si="28"/>
        <v>EL PEÑOL, GUATAPÉ</v>
      </c>
      <c r="B626" t="str">
        <f t="shared" si="29"/>
        <v>Finca la Marina el peñol,Guatapé</v>
      </c>
      <c r="G626" s="14">
        <v>46196</v>
      </c>
    </row>
    <row r="627" spans="1:7" ht="15" hidden="1" customHeight="1" x14ac:dyDescent="0.3">
      <c r="A627" t="str">
        <f t="shared" si="28"/>
        <v>EL PEÑOL, GUATAPÉ</v>
      </c>
      <c r="B627" t="str">
        <f t="shared" si="29"/>
        <v>Finca la Marina el peñol,Guatapé</v>
      </c>
      <c r="G627" s="14">
        <v>46197</v>
      </c>
    </row>
    <row r="628" spans="1:7" ht="15" hidden="1" customHeight="1" x14ac:dyDescent="0.3">
      <c r="A628" t="str">
        <f t="shared" si="28"/>
        <v>EL PEÑOL, GUATAPÉ</v>
      </c>
      <c r="B628" t="str">
        <f t="shared" si="29"/>
        <v>Finca la Marina el peñol,Guatapé</v>
      </c>
      <c r="G628" s="14">
        <v>46198</v>
      </c>
    </row>
    <row r="629" spans="1:7" ht="15" hidden="1" customHeight="1" x14ac:dyDescent="0.3">
      <c r="A629" t="str">
        <f t="shared" si="28"/>
        <v>EL PEÑOL, GUATAPÉ</v>
      </c>
      <c r="B629" t="str">
        <f t="shared" si="29"/>
        <v>Finca la Marina el peñol,Guatapé</v>
      </c>
      <c r="G629" s="14">
        <v>46199</v>
      </c>
    </row>
    <row r="630" spans="1:7" ht="15" hidden="1" customHeight="1" x14ac:dyDescent="0.3">
      <c r="A630" t="str">
        <f t="shared" si="28"/>
        <v>EL PEÑOL, GUATAPÉ</v>
      </c>
      <c r="B630" t="str">
        <f t="shared" si="29"/>
        <v>Finca la Marina el peñol,Guatapé</v>
      </c>
      <c r="G630" s="14">
        <v>46200</v>
      </c>
    </row>
    <row r="631" spans="1:7" ht="15" hidden="1" customHeight="1" x14ac:dyDescent="0.3">
      <c r="A631" t="str">
        <f t="shared" si="28"/>
        <v>EL PEÑOL, GUATAPÉ</v>
      </c>
      <c r="B631" t="str">
        <f t="shared" si="29"/>
        <v>Finca la Marina el peñol,Guatapé</v>
      </c>
      <c r="G631" s="14">
        <v>46201</v>
      </c>
    </row>
    <row r="632" spans="1:7" ht="15" hidden="1" customHeight="1" x14ac:dyDescent="0.3">
      <c r="A632" t="str">
        <f t="shared" ref="A632:A650" si="30">+A631</f>
        <v>EL PEÑOL, GUATAPÉ</v>
      </c>
      <c r="B632" t="str">
        <f t="shared" ref="B632:B650" si="31">+B631</f>
        <v>Finca la Marina el peñol,Guatapé</v>
      </c>
      <c r="G632" s="14">
        <v>46202</v>
      </c>
    </row>
    <row r="633" spans="1:7" ht="15" hidden="1" customHeight="1" x14ac:dyDescent="0.3">
      <c r="A633" t="str">
        <f t="shared" si="30"/>
        <v>EL PEÑOL, GUATAPÉ</v>
      </c>
      <c r="B633" t="str">
        <f t="shared" si="31"/>
        <v>Finca la Marina el peñol,Guatapé</v>
      </c>
      <c r="G633" s="14">
        <v>46203</v>
      </c>
    </row>
    <row r="634" spans="1:7" ht="15" hidden="1" customHeight="1" x14ac:dyDescent="0.3">
      <c r="A634" t="str">
        <f t="shared" si="30"/>
        <v>EL PEÑOL, GUATAPÉ</v>
      </c>
      <c r="B634" t="str">
        <f t="shared" si="31"/>
        <v>Finca la Marina el peñol,Guatapé</v>
      </c>
      <c r="G634" s="14">
        <v>46204</v>
      </c>
    </row>
    <row r="635" spans="1:7" ht="15" hidden="1" customHeight="1" x14ac:dyDescent="0.3">
      <c r="A635" t="str">
        <f t="shared" si="30"/>
        <v>EL PEÑOL, GUATAPÉ</v>
      </c>
      <c r="B635" t="str">
        <f t="shared" si="31"/>
        <v>Finca la Marina el peñol,Guatapé</v>
      </c>
      <c r="G635" s="14">
        <v>46205</v>
      </c>
    </row>
    <row r="636" spans="1:7" ht="15" hidden="1" customHeight="1" x14ac:dyDescent="0.3">
      <c r="A636" t="str">
        <f t="shared" si="30"/>
        <v>EL PEÑOL, GUATAPÉ</v>
      </c>
      <c r="B636" t="str">
        <f t="shared" si="31"/>
        <v>Finca la Marina el peñol,Guatapé</v>
      </c>
      <c r="G636" s="14">
        <v>46206</v>
      </c>
    </row>
    <row r="637" spans="1:7" ht="15" hidden="1" customHeight="1" x14ac:dyDescent="0.3">
      <c r="A637" t="str">
        <f t="shared" si="30"/>
        <v>EL PEÑOL, GUATAPÉ</v>
      </c>
      <c r="B637" t="str">
        <f t="shared" si="31"/>
        <v>Finca la Marina el peñol,Guatapé</v>
      </c>
      <c r="G637" s="14">
        <v>46207</v>
      </c>
    </row>
    <row r="638" spans="1:7" ht="15" hidden="1" customHeight="1" x14ac:dyDescent="0.3">
      <c r="A638" t="str">
        <f t="shared" si="30"/>
        <v>EL PEÑOL, GUATAPÉ</v>
      </c>
      <c r="B638" t="str">
        <f t="shared" si="31"/>
        <v>Finca la Marina el peñol,Guatapé</v>
      </c>
      <c r="G638" s="14">
        <v>46208</v>
      </c>
    </row>
    <row r="639" spans="1:7" ht="15" hidden="1" customHeight="1" x14ac:dyDescent="0.3">
      <c r="A639" t="str">
        <f t="shared" si="30"/>
        <v>EL PEÑOL, GUATAPÉ</v>
      </c>
      <c r="B639" t="str">
        <f t="shared" si="31"/>
        <v>Finca la Marina el peñol,Guatapé</v>
      </c>
      <c r="G639" s="14">
        <v>46209</v>
      </c>
    </row>
    <row r="640" spans="1:7" ht="15" hidden="1" customHeight="1" x14ac:dyDescent="0.3">
      <c r="A640" t="str">
        <f t="shared" si="30"/>
        <v>EL PEÑOL, GUATAPÉ</v>
      </c>
      <c r="B640" t="str">
        <f t="shared" si="31"/>
        <v>Finca la Marina el peñol,Guatapé</v>
      </c>
      <c r="G640" s="14">
        <v>46210</v>
      </c>
    </row>
    <row r="641" spans="1:7" ht="15" hidden="1" customHeight="1" x14ac:dyDescent="0.3">
      <c r="A641" t="str">
        <f t="shared" si="30"/>
        <v>EL PEÑOL, GUATAPÉ</v>
      </c>
      <c r="B641" t="str">
        <f t="shared" si="31"/>
        <v>Finca la Marina el peñol,Guatapé</v>
      </c>
      <c r="G641" s="14">
        <v>46211</v>
      </c>
    </row>
    <row r="642" spans="1:7" ht="15" hidden="1" customHeight="1" x14ac:dyDescent="0.3">
      <c r="A642" t="str">
        <f t="shared" si="30"/>
        <v>EL PEÑOL, GUATAPÉ</v>
      </c>
      <c r="B642" t="str">
        <f t="shared" si="31"/>
        <v>Finca la Marina el peñol,Guatapé</v>
      </c>
      <c r="G642" s="14">
        <v>46212</v>
      </c>
    </row>
    <row r="643" spans="1:7" ht="15" hidden="1" customHeight="1" x14ac:dyDescent="0.3">
      <c r="A643" t="str">
        <f t="shared" si="30"/>
        <v>EL PEÑOL, GUATAPÉ</v>
      </c>
      <c r="B643" t="str">
        <f t="shared" si="31"/>
        <v>Finca la Marina el peñol,Guatapé</v>
      </c>
      <c r="G643" s="14">
        <v>46213</v>
      </c>
    </row>
    <row r="644" spans="1:7" ht="15" hidden="1" customHeight="1" x14ac:dyDescent="0.3">
      <c r="A644" t="str">
        <f t="shared" si="30"/>
        <v>EL PEÑOL, GUATAPÉ</v>
      </c>
      <c r="B644" t="str">
        <f t="shared" si="31"/>
        <v>Finca la Marina el peñol,Guatapé</v>
      </c>
      <c r="G644" s="14">
        <v>46214</v>
      </c>
    </row>
    <row r="645" spans="1:7" ht="15" hidden="1" customHeight="1" x14ac:dyDescent="0.3">
      <c r="A645" t="str">
        <f t="shared" si="30"/>
        <v>EL PEÑOL, GUATAPÉ</v>
      </c>
      <c r="B645" t="str">
        <f t="shared" si="31"/>
        <v>Finca la Marina el peñol,Guatapé</v>
      </c>
      <c r="G645" s="14">
        <v>46215</v>
      </c>
    </row>
    <row r="646" spans="1:7" ht="15" hidden="1" customHeight="1" x14ac:dyDescent="0.3">
      <c r="A646" t="str">
        <f t="shared" si="30"/>
        <v>EL PEÑOL, GUATAPÉ</v>
      </c>
      <c r="B646" t="str">
        <f t="shared" si="31"/>
        <v>Finca la Marina el peñol,Guatapé</v>
      </c>
      <c r="G646" s="14">
        <v>46216</v>
      </c>
    </row>
    <row r="647" spans="1:7" ht="15" hidden="1" customHeight="1" x14ac:dyDescent="0.3">
      <c r="A647" t="str">
        <f t="shared" si="30"/>
        <v>EL PEÑOL, GUATAPÉ</v>
      </c>
      <c r="B647" t="str">
        <f t="shared" si="31"/>
        <v>Finca la Marina el peñol,Guatapé</v>
      </c>
      <c r="G647" s="14">
        <v>46217</v>
      </c>
    </row>
    <row r="648" spans="1:7" ht="15" hidden="1" customHeight="1" x14ac:dyDescent="0.3">
      <c r="A648" t="str">
        <f t="shared" si="30"/>
        <v>EL PEÑOL, GUATAPÉ</v>
      </c>
      <c r="B648" t="str">
        <f t="shared" si="31"/>
        <v>Finca la Marina el peñol,Guatapé</v>
      </c>
      <c r="G648" s="14">
        <v>46218</v>
      </c>
    </row>
    <row r="649" spans="1:7" ht="15" hidden="1" customHeight="1" x14ac:dyDescent="0.3">
      <c r="A649" t="str">
        <f t="shared" si="30"/>
        <v>EL PEÑOL, GUATAPÉ</v>
      </c>
      <c r="B649" t="str">
        <f t="shared" si="31"/>
        <v>Finca la Marina el peñol,Guatapé</v>
      </c>
      <c r="G649" s="14">
        <v>46219</v>
      </c>
    </row>
    <row r="650" spans="1:7" ht="15" hidden="1" customHeight="1" x14ac:dyDescent="0.3">
      <c r="A650" t="str">
        <f t="shared" si="30"/>
        <v>EL PEÑOL, GUATAPÉ</v>
      </c>
      <c r="B650" t="str">
        <f t="shared" si="31"/>
        <v>Finca la Marina el peñol,Guatapé</v>
      </c>
      <c r="G650" s="14">
        <v>46220</v>
      </c>
    </row>
    <row r="651" spans="1:7" hidden="1" x14ac:dyDescent="0.3">
      <c r="A651" t="s">
        <v>23</v>
      </c>
      <c r="B651" t="s">
        <v>27</v>
      </c>
      <c r="G651" s="14">
        <v>46221</v>
      </c>
    </row>
    <row r="652" spans="1:7" hidden="1" x14ac:dyDescent="0.3">
      <c r="A652" t="str">
        <f t="shared" ref="A652:A692" si="32">+A651</f>
        <v xml:space="preserve">El peñol </v>
      </c>
      <c r="B652" t="str">
        <f t="shared" ref="B652:B692" si="33">+B651</f>
        <v>1811 Villas Guatapé</v>
      </c>
      <c r="G652" s="14">
        <v>46222</v>
      </c>
    </row>
    <row r="653" spans="1:7" hidden="1" x14ac:dyDescent="0.3">
      <c r="A653" t="str">
        <f t="shared" si="32"/>
        <v xml:space="preserve">El peñol </v>
      </c>
      <c r="B653" t="str">
        <f t="shared" si="33"/>
        <v>1811 Villas Guatapé</v>
      </c>
      <c r="G653" s="14">
        <v>46223</v>
      </c>
    </row>
    <row r="654" spans="1:7" hidden="1" x14ac:dyDescent="0.3">
      <c r="A654" t="str">
        <f t="shared" si="32"/>
        <v xml:space="preserve">El peñol </v>
      </c>
      <c r="B654" t="str">
        <f t="shared" si="33"/>
        <v>1811 Villas Guatapé</v>
      </c>
      <c r="G654" s="14">
        <v>46224</v>
      </c>
    </row>
    <row r="655" spans="1:7" hidden="1" x14ac:dyDescent="0.3">
      <c r="A655" t="str">
        <f t="shared" si="32"/>
        <v xml:space="preserve">El peñol </v>
      </c>
      <c r="B655" t="str">
        <f t="shared" si="33"/>
        <v>1811 Villas Guatapé</v>
      </c>
      <c r="G655" s="14">
        <v>46225</v>
      </c>
    </row>
    <row r="656" spans="1:7" hidden="1" x14ac:dyDescent="0.3">
      <c r="A656" t="str">
        <f t="shared" si="32"/>
        <v xml:space="preserve">El peñol </v>
      </c>
      <c r="B656" t="str">
        <f t="shared" si="33"/>
        <v>1811 Villas Guatapé</v>
      </c>
      <c r="G656" s="14">
        <v>46226</v>
      </c>
    </row>
    <row r="657" spans="1:7" hidden="1" x14ac:dyDescent="0.3">
      <c r="A657" t="str">
        <f t="shared" si="32"/>
        <v xml:space="preserve">El peñol </v>
      </c>
      <c r="B657" t="str">
        <f t="shared" si="33"/>
        <v>1811 Villas Guatapé</v>
      </c>
      <c r="G657" s="14">
        <v>46227</v>
      </c>
    </row>
    <row r="658" spans="1:7" hidden="1" x14ac:dyDescent="0.3">
      <c r="A658" t="str">
        <f t="shared" si="32"/>
        <v xml:space="preserve">El peñol </v>
      </c>
      <c r="B658" t="str">
        <f t="shared" si="33"/>
        <v>1811 Villas Guatapé</v>
      </c>
      <c r="G658" s="14">
        <v>46228</v>
      </c>
    </row>
    <row r="659" spans="1:7" hidden="1" x14ac:dyDescent="0.3">
      <c r="A659" t="str">
        <f t="shared" si="32"/>
        <v xml:space="preserve">El peñol </v>
      </c>
      <c r="B659" t="str">
        <f t="shared" si="33"/>
        <v>1811 Villas Guatapé</v>
      </c>
      <c r="G659" s="14">
        <v>46229</v>
      </c>
    </row>
    <row r="660" spans="1:7" hidden="1" x14ac:dyDescent="0.3">
      <c r="A660" t="str">
        <f t="shared" si="32"/>
        <v xml:space="preserve">El peñol </v>
      </c>
      <c r="B660" t="str">
        <f t="shared" si="33"/>
        <v>1811 Villas Guatapé</v>
      </c>
      <c r="G660" s="14">
        <v>46230</v>
      </c>
    </row>
    <row r="661" spans="1:7" hidden="1" x14ac:dyDescent="0.3">
      <c r="A661" t="str">
        <f t="shared" si="32"/>
        <v xml:space="preserve">El peñol </v>
      </c>
      <c r="B661" t="str">
        <f t="shared" si="33"/>
        <v>1811 Villas Guatapé</v>
      </c>
      <c r="G661" s="14">
        <v>46231</v>
      </c>
    </row>
    <row r="662" spans="1:7" hidden="1" x14ac:dyDescent="0.3">
      <c r="A662" t="str">
        <f t="shared" si="32"/>
        <v xml:space="preserve">El peñol </v>
      </c>
      <c r="B662" t="str">
        <f t="shared" si="33"/>
        <v>1811 Villas Guatapé</v>
      </c>
      <c r="G662" s="14">
        <v>46232</v>
      </c>
    </row>
    <row r="663" spans="1:7" hidden="1" x14ac:dyDescent="0.3">
      <c r="A663" t="str">
        <f t="shared" si="32"/>
        <v xml:space="preserve">El peñol </v>
      </c>
      <c r="B663" t="str">
        <f t="shared" si="33"/>
        <v>1811 Villas Guatapé</v>
      </c>
      <c r="G663" s="14">
        <v>46233</v>
      </c>
    </row>
    <row r="664" spans="1:7" hidden="1" x14ac:dyDescent="0.3">
      <c r="A664" t="str">
        <f t="shared" si="32"/>
        <v xml:space="preserve">El peñol </v>
      </c>
      <c r="B664" t="str">
        <f t="shared" si="33"/>
        <v>1811 Villas Guatapé</v>
      </c>
      <c r="G664" s="14">
        <v>46234</v>
      </c>
    </row>
    <row r="665" spans="1:7" hidden="1" x14ac:dyDescent="0.3">
      <c r="A665" t="str">
        <f t="shared" si="32"/>
        <v xml:space="preserve">El peñol </v>
      </c>
      <c r="B665" t="str">
        <f t="shared" si="33"/>
        <v>1811 Villas Guatapé</v>
      </c>
      <c r="G665" s="14">
        <v>46235</v>
      </c>
    </row>
    <row r="666" spans="1:7" hidden="1" x14ac:dyDescent="0.3">
      <c r="A666" t="str">
        <f t="shared" si="32"/>
        <v xml:space="preserve">El peñol </v>
      </c>
      <c r="B666" t="str">
        <f t="shared" si="33"/>
        <v>1811 Villas Guatapé</v>
      </c>
      <c r="G666" s="14">
        <v>46236</v>
      </c>
    </row>
    <row r="667" spans="1:7" hidden="1" x14ac:dyDescent="0.3">
      <c r="A667" t="str">
        <f t="shared" si="32"/>
        <v xml:space="preserve">El peñol </v>
      </c>
      <c r="B667" t="str">
        <f t="shared" si="33"/>
        <v>1811 Villas Guatapé</v>
      </c>
      <c r="G667" s="14">
        <v>46237</v>
      </c>
    </row>
    <row r="668" spans="1:7" hidden="1" x14ac:dyDescent="0.3">
      <c r="A668" t="str">
        <f t="shared" si="32"/>
        <v xml:space="preserve">El peñol </v>
      </c>
      <c r="B668" t="str">
        <f t="shared" si="33"/>
        <v>1811 Villas Guatapé</v>
      </c>
      <c r="G668" s="14">
        <v>46238</v>
      </c>
    </row>
    <row r="669" spans="1:7" hidden="1" x14ac:dyDescent="0.3">
      <c r="A669" t="str">
        <f t="shared" si="32"/>
        <v xml:space="preserve">El peñol </v>
      </c>
      <c r="B669" t="str">
        <f t="shared" si="33"/>
        <v>1811 Villas Guatapé</v>
      </c>
      <c r="G669" s="14">
        <v>46239</v>
      </c>
    </row>
    <row r="670" spans="1:7" hidden="1" x14ac:dyDescent="0.3">
      <c r="A670" t="str">
        <f t="shared" si="32"/>
        <v xml:space="preserve">El peñol </v>
      </c>
      <c r="B670" t="str">
        <f t="shared" si="33"/>
        <v>1811 Villas Guatapé</v>
      </c>
      <c r="G670" s="14">
        <v>46240</v>
      </c>
    </row>
    <row r="671" spans="1:7" hidden="1" x14ac:dyDescent="0.3">
      <c r="A671" t="str">
        <f t="shared" si="32"/>
        <v xml:space="preserve">El peñol </v>
      </c>
      <c r="B671" t="str">
        <f t="shared" si="33"/>
        <v>1811 Villas Guatapé</v>
      </c>
      <c r="G671" s="14">
        <v>46241</v>
      </c>
    </row>
    <row r="672" spans="1:7" hidden="1" x14ac:dyDescent="0.3">
      <c r="A672" t="str">
        <f t="shared" si="32"/>
        <v xml:space="preserve">El peñol </v>
      </c>
      <c r="B672" t="str">
        <f t="shared" si="33"/>
        <v>1811 Villas Guatapé</v>
      </c>
      <c r="G672" s="14">
        <v>46242</v>
      </c>
    </row>
    <row r="673" spans="1:7" hidden="1" x14ac:dyDescent="0.3">
      <c r="A673" t="str">
        <f t="shared" si="32"/>
        <v xml:space="preserve">El peñol </v>
      </c>
      <c r="B673" t="str">
        <f t="shared" si="33"/>
        <v>1811 Villas Guatapé</v>
      </c>
      <c r="G673" s="14">
        <v>46243</v>
      </c>
    </row>
    <row r="674" spans="1:7" hidden="1" x14ac:dyDescent="0.3">
      <c r="A674" t="str">
        <f t="shared" si="32"/>
        <v xml:space="preserve">El peñol </v>
      </c>
      <c r="B674" t="str">
        <f t="shared" si="33"/>
        <v>1811 Villas Guatapé</v>
      </c>
      <c r="G674" s="14">
        <v>46244</v>
      </c>
    </row>
    <row r="675" spans="1:7" hidden="1" x14ac:dyDescent="0.3">
      <c r="A675" t="str">
        <f t="shared" si="32"/>
        <v xml:space="preserve">El peñol </v>
      </c>
      <c r="B675" t="str">
        <f t="shared" si="33"/>
        <v>1811 Villas Guatapé</v>
      </c>
      <c r="G675" s="14">
        <v>46245</v>
      </c>
    </row>
    <row r="676" spans="1:7" hidden="1" x14ac:dyDescent="0.3">
      <c r="A676" t="str">
        <f t="shared" si="32"/>
        <v xml:space="preserve">El peñol </v>
      </c>
      <c r="B676" t="str">
        <f t="shared" si="33"/>
        <v>1811 Villas Guatapé</v>
      </c>
      <c r="G676" s="14">
        <v>46246</v>
      </c>
    </row>
    <row r="677" spans="1:7" hidden="1" x14ac:dyDescent="0.3">
      <c r="A677" t="str">
        <f t="shared" si="32"/>
        <v xml:space="preserve">El peñol </v>
      </c>
      <c r="B677" t="str">
        <f t="shared" si="33"/>
        <v>1811 Villas Guatapé</v>
      </c>
      <c r="G677" s="14">
        <v>46247</v>
      </c>
    </row>
    <row r="678" spans="1:7" hidden="1" x14ac:dyDescent="0.3">
      <c r="A678" t="str">
        <f t="shared" si="32"/>
        <v xml:space="preserve">El peñol </v>
      </c>
      <c r="B678" t="str">
        <f t="shared" si="33"/>
        <v>1811 Villas Guatapé</v>
      </c>
      <c r="G678" s="14">
        <v>46248</v>
      </c>
    </row>
    <row r="679" spans="1:7" hidden="1" x14ac:dyDescent="0.3">
      <c r="A679" t="str">
        <f t="shared" si="32"/>
        <v xml:space="preserve">El peñol </v>
      </c>
      <c r="B679" t="str">
        <f t="shared" si="33"/>
        <v>1811 Villas Guatapé</v>
      </c>
      <c r="G679" s="14">
        <v>46249</v>
      </c>
    </row>
    <row r="680" spans="1:7" hidden="1" x14ac:dyDescent="0.3">
      <c r="A680" t="str">
        <f t="shared" si="32"/>
        <v xml:space="preserve">El peñol </v>
      </c>
      <c r="B680" t="str">
        <f t="shared" si="33"/>
        <v>1811 Villas Guatapé</v>
      </c>
      <c r="G680" s="14">
        <v>46250</v>
      </c>
    </row>
    <row r="681" spans="1:7" hidden="1" x14ac:dyDescent="0.3">
      <c r="A681" t="str">
        <f t="shared" si="32"/>
        <v xml:space="preserve">El peñol </v>
      </c>
      <c r="B681" t="str">
        <f t="shared" si="33"/>
        <v>1811 Villas Guatapé</v>
      </c>
      <c r="G681" s="14">
        <v>46251</v>
      </c>
    </row>
    <row r="682" spans="1:7" hidden="1" x14ac:dyDescent="0.3">
      <c r="A682" t="str">
        <f t="shared" si="32"/>
        <v xml:space="preserve">El peñol </v>
      </c>
      <c r="B682" t="str">
        <f t="shared" si="33"/>
        <v>1811 Villas Guatapé</v>
      </c>
      <c r="G682" s="14">
        <v>46252</v>
      </c>
    </row>
    <row r="683" spans="1:7" hidden="1" x14ac:dyDescent="0.3">
      <c r="A683" t="str">
        <f t="shared" si="32"/>
        <v xml:space="preserve">El peñol </v>
      </c>
      <c r="B683" t="str">
        <f t="shared" si="33"/>
        <v>1811 Villas Guatapé</v>
      </c>
      <c r="G683" s="14">
        <v>46253</v>
      </c>
    </row>
    <row r="684" spans="1:7" hidden="1" x14ac:dyDescent="0.3">
      <c r="A684" t="str">
        <f t="shared" si="32"/>
        <v xml:space="preserve">El peñol </v>
      </c>
      <c r="B684" t="str">
        <f t="shared" si="33"/>
        <v>1811 Villas Guatapé</v>
      </c>
      <c r="G684" s="14">
        <v>46254</v>
      </c>
    </row>
    <row r="685" spans="1:7" hidden="1" x14ac:dyDescent="0.3">
      <c r="A685" t="str">
        <f t="shared" si="32"/>
        <v xml:space="preserve">El peñol </v>
      </c>
      <c r="B685" t="str">
        <f t="shared" si="33"/>
        <v>1811 Villas Guatapé</v>
      </c>
      <c r="G685" s="14">
        <v>46255</v>
      </c>
    </row>
    <row r="686" spans="1:7" hidden="1" x14ac:dyDescent="0.3">
      <c r="A686" t="str">
        <f t="shared" si="32"/>
        <v xml:space="preserve">El peñol </v>
      </c>
      <c r="B686" t="str">
        <f t="shared" si="33"/>
        <v>1811 Villas Guatapé</v>
      </c>
      <c r="G686" s="14">
        <v>46256</v>
      </c>
    </row>
    <row r="687" spans="1:7" hidden="1" x14ac:dyDescent="0.3">
      <c r="A687" t="str">
        <f t="shared" si="32"/>
        <v xml:space="preserve">El peñol </v>
      </c>
      <c r="B687" t="str">
        <f t="shared" si="33"/>
        <v>1811 Villas Guatapé</v>
      </c>
      <c r="G687" s="14">
        <v>46257</v>
      </c>
    </row>
    <row r="688" spans="1:7" hidden="1" x14ac:dyDescent="0.3">
      <c r="A688" t="str">
        <f t="shared" si="32"/>
        <v xml:space="preserve">El peñol </v>
      </c>
      <c r="B688" t="str">
        <f t="shared" si="33"/>
        <v>1811 Villas Guatapé</v>
      </c>
      <c r="G688" s="14">
        <v>46258</v>
      </c>
    </row>
    <row r="689" spans="1:10" hidden="1" x14ac:dyDescent="0.3">
      <c r="A689" t="str">
        <f t="shared" si="32"/>
        <v xml:space="preserve">El peñol </v>
      </c>
      <c r="B689" t="str">
        <f t="shared" si="33"/>
        <v>1811 Villas Guatapé</v>
      </c>
      <c r="G689" s="14">
        <v>46259</v>
      </c>
    </row>
    <row r="690" spans="1:10" hidden="1" x14ac:dyDescent="0.3">
      <c r="A690" t="str">
        <f t="shared" si="32"/>
        <v xml:space="preserve">El peñol </v>
      </c>
      <c r="B690" t="str">
        <f t="shared" si="33"/>
        <v>1811 Villas Guatapé</v>
      </c>
      <c r="G690" s="14">
        <v>46260</v>
      </c>
    </row>
    <row r="691" spans="1:10" hidden="1" x14ac:dyDescent="0.3">
      <c r="A691" t="str">
        <f t="shared" si="32"/>
        <v xml:space="preserve">El peñol </v>
      </c>
      <c r="B691" t="str">
        <f t="shared" si="33"/>
        <v>1811 Villas Guatapé</v>
      </c>
      <c r="G691" s="14">
        <v>46261</v>
      </c>
    </row>
    <row r="692" spans="1:10" hidden="1" x14ac:dyDescent="0.3">
      <c r="A692" t="str">
        <f t="shared" si="32"/>
        <v xml:space="preserve">El peñol </v>
      </c>
      <c r="B692" t="str">
        <f t="shared" si="33"/>
        <v>1811 Villas Guatapé</v>
      </c>
      <c r="G692" s="14">
        <v>46262</v>
      </c>
    </row>
    <row r="693" spans="1:10" ht="20.399999999999999" hidden="1" x14ac:dyDescent="0.45">
      <c r="A693" t="s">
        <v>30</v>
      </c>
      <c r="B693" t="s">
        <v>29</v>
      </c>
      <c r="C693" s="37">
        <v>32</v>
      </c>
      <c r="D693" s="17">
        <v>19</v>
      </c>
      <c r="E693" s="31">
        <f>Cliente2[[#This Row],[Total_Ingresos]]/Cliente2[[#This Row],[Ocupadas]]</f>
        <v>147437.26315789475</v>
      </c>
      <c r="F693" s="34">
        <v>2801308</v>
      </c>
      <c r="G693" s="23">
        <v>45748</v>
      </c>
      <c r="J693" s="38"/>
    </row>
    <row r="694" spans="1:10" ht="20.399999999999999" hidden="1" x14ac:dyDescent="0.45">
      <c r="A694" t="str">
        <f t="shared" ref="A694:A734" si="34">+A693</f>
        <v>Pereira</v>
      </c>
      <c r="B694" t="str">
        <f t="shared" ref="B694:B734" si="35">+B693</f>
        <v>Hotel Z3</v>
      </c>
      <c r="C694" s="37">
        <v>32</v>
      </c>
      <c r="D694" s="17">
        <v>21</v>
      </c>
      <c r="E694" s="31">
        <f>Cliente2[[#This Row],[Total_Ingresos]]/Cliente2[[#This Row],[Ocupadas]]</f>
        <v>154392.19047619047</v>
      </c>
      <c r="F694" s="34">
        <v>3242236</v>
      </c>
      <c r="G694" s="24">
        <v>45749</v>
      </c>
      <c r="J694" s="39"/>
    </row>
    <row r="695" spans="1:10" ht="20.399999999999999" hidden="1" x14ac:dyDescent="0.45">
      <c r="A695" t="str">
        <f t="shared" si="34"/>
        <v>Pereira</v>
      </c>
      <c r="B695" t="str">
        <f t="shared" si="35"/>
        <v>Hotel Z3</v>
      </c>
      <c r="C695" s="37">
        <v>32</v>
      </c>
      <c r="D695" s="17">
        <v>18</v>
      </c>
      <c r="E695" s="31">
        <f>Cliente2[[#This Row],[Total_Ingresos]]/Cliente2[[#This Row],[Ocupadas]]</f>
        <v>151417.33333333334</v>
      </c>
      <c r="F695" s="34">
        <v>2725512</v>
      </c>
      <c r="G695" s="23">
        <v>45750</v>
      </c>
      <c r="J695" s="38"/>
    </row>
    <row r="696" spans="1:10" ht="20.399999999999999" hidden="1" x14ac:dyDescent="0.45">
      <c r="A696" t="str">
        <f t="shared" si="34"/>
        <v>Pereira</v>
      </c>
      <c r="B696" t="str">
        <f t="shared" si="35"/>
        <v>Hotel Z3</v>
      </c>
      <c r="C696" s="37">
        <v>32</v>
      </c>
      <c r="D696" s="17">
        <v>8</v>
      </c>
      <c r="E696" s="31">
        <f>Cliente2[[#This Row],[Total_Ingresos]]/Cliente2[[#This Row],[Ocupadas]]</f>
        <v>145603.875</v>
      </c>
      <c r="F696" s="34">
        <v>1164831</v>
      </c>
      <c r="G696" s="24">
        <v>45751</v>
      </c>
      <c r="J696" s="39"/>
    </row>
    <row r="697" spans="1:10" ht="20.399999999999999" hidden="1" x14ac:dyDescent="0.45">
      <c r="A697" t="str">
        <f t="shared" si="34"/>
        <v>Pereira</v>
      </c>
      <c r="B697" t="str">
        <f t="shared" si="35"/>
        <v>Hotel Z3</v>
      </c>
      <c r="C697" s="37">
        <v>32</v>
      </c>
      <c r="D697" s="17">
        <v>18</v>
      </c>
      <c r="E697" s="31">
        <f>Cliente2[[#This Row],[Total_Ingresos]]/Cliente2[[#This Row],[Ocupadas]]</f>
        <v>147148.44444444444</v>
      </c>
      <c r="F697" s="34">
        <v>2648672</v>
      </c>
      <c r="G697" s="23">
        <v>45752</v>
      </c>
      <c r="J697" s="38"/>
    </row>
    <row r="698" spans="1:10" ht="20.399999999999999" hidden="1" x14ac:dyDescent="0.45">
      <c r="A698" t="str">
        <f t="shared" si="34"/>
        <v>Pereira</v>
      </c>
      <c r="B698" t="str">
        <f t="shared" si="35"/>
        <v>Hotel Z3</v>
      </c>
      <c r="C698" s="37">
        <v>32</v>
      </c>
      <c r="D698" s="17">
        <v>11</v>
      </c>
      <c r="E698" s="31">
        <f>Cliente2[[#This Row],[Total_Ingresos]]/Cliente2[[#This Row],[Ocupadas]]</f>
        <v>153228.18181818182</v>
      </c>
      <c r="F698" s="34">
        <v>1685510</v>
      </c>
      <c r="G698" s="24">
        <v>45753</v>
      </c>
      <c r="J698" s="39"/>
    </row>
    <row r="699" spans="1:10" ht="20.399999999999999" hidden="1" x14ac:dyDescent="0.45">
      <c r="A699" t="str">
        <f t="shared" si="34"/>
        <v>Pereira</v>
      </c>
      <c r="B699" t="str">
        <f t="shared" si="35"/>
        <v>Hotel Z3</v>
      </c>
      <c r="C699" s="37">
        <v>32</v>
      </c>
      <c r="D699" s="17">
        <v>18</v>
      </c>
      <c r="E699" s="31">
        <f>Cliente2[[#This Row],[Total_Ingresos]]/Cliente2[[#This Row],[Ocupadas]]</f>
        <v>153289.33333333334</v>
      </c>
      <c r="F699" s="34">
        <v>2759208</v>
      </c>
      <c r="G699" s="23">
        <v>45754</v>
      </c>
      <c r="J699" s="38"/>
    </row>
    <row r="700" spans="1:10" ht="20.399999999999999" hidden="1" x14ac:dyDescent="0.45">
      <c r="A700" t="str">
        <f t="shared" si="34"/>
        <v>Pereira</v>
      </c>
      <c r="B700" t="str">
        <f t="shared" si="35"/>
        <v>Hotel Z3</v>
      </c>
      <c r="C700" s="37">
        <v>32</v>
      </c>
      <c r="D700" s="17">
        <v>23</v>
      </c>
      <c r="E700" s="31">
        <f>Cliente2[[#This Row],[Total_Ingresos]]/Cliente2[[#This Row],[Ocupadas]]</f>
        <v>152808.91304347827</v>
      </c>
      <c r="F700" s="34">
        <v>3514605</v>
      </c>
      <c r="G700" s="24">
        <v>45755</v>
      </c>
      <c r="J700" s="39"/>
    </row>
    <row r="701" spans="1:10" ht="20.399999999999999" hidden="1" x14ac:dyDescent="0.45">
      <c r="A701" t="str">
        <f t="shared" si="34"/>
        <v>Pereira</v>
      </c>
      <c r="B701" t="str">
        <f t="shared" si="35"/>
        <v>Hotel Z3</v>
      </c>
      <c r="C701" s="37">
        <v>32</v>
      </c>
      <c r="D701" s="17">
        <v>25</v>
      </c>
      <c r="E701" s="31">
        <f>Cliente2[[#This Row],[Total_Ingresos]]/Cliente2[[#This Row],[Ocupadas]]</f>
        <v>150448.35999999999</v>
      </c>
      <c r="F701" s="34">
        <v>3761209</v>
      </c>
      <c r="G701" s="23">
        <v>45756</v>
      </c>
      <c r="J701" s="38"/>
    </row>
    <row r="702" spans="1:10" ht="20.399999999999999" hidden="1" x14ac:dyDescent="0.45">
      <c r="A702" t="str">
        <f t="shared" si="34"/>
        <v>Pereira</v>
      </c>
      <c r="B702" t="str">
        <f t="shared" si="35"/>
        <v>Hotel Z3</v>
      </c>
      <c r="C702" s="37">
        <v>32</v>
      </c>
      <c r="D702" s="17">
        <v>31</v>
      </c>
      <c r="E702" s="31">
        <f>Cliente2[[#This Row],[Total_Ingresos]]/Cliente2[[#This Row],[Ocupadas]]</f>
        <v>159455.87096774194</v>
      </c>
      <c r="F702" s="34">
        <v>4943132</v>
      </c>
      <c r="G702" s="24">
        <v>45757</v>
      </c>
      <c r="J702" s="39"/>
    </row>
    <row r="703" spans="1:10" ht="20.399999999999999" hidden="1" x14ac:dyDescent="0.45">
      <c r="A703" t="str">
        <f t="shared" si="34"/>
        <v>Pereira</v>
      </c>
      <c r="B703" t="str">
        <f t="shared" si="35"/>
        <v>Hotel Z3</v>
      </c>
      <c r="C703" s="37">
        <v>32</v>
      </c>
      <c r="D703" s="17">
        <v>19</v>
      </c>
      <c r="E703" s="31">
        <f>Cliente2[[#This Row],[Total_Ingresos]]/Cliente2[[#This Row],[Ocupadas]]</f>
        <v>149525.57894736843</v>
      </c>
      <c r="F703" s="34">
        <v>2840986</v>
      </c>
      <c r="G703" s="23">
        <v>45758</v>
      </c>
      <c r="J703" s="38"/>
    </row>
    <row r="704" spans="1:10" ht="20.399999999999999" hidden="1" x14ac:dyDescent="0.45">
      <c r="A704" t="str">
        <f t="shared" si="34"/>
        <v>Pereira</v>
      </c>
      <c r="B704" t="str">
        <f t="shared" si="35"/>
        <v>Hotel Z3</v>
      </c>
      <c r="C704" s="37">
        <v>32</v>
      </c>
      <c r="D704" s="17">
        <v>26</v>
      </c>
      <c r="E704" s="31">
        <f>Cliente2[[#This Row],[Total_Ingresos]]/Cliente2[[#This Row],[Ocupadas]]</f>
        <v>167052</v>
      </c>
      <c r="F704" s="34">
        <v>4343352</v>
      </c>
      <c r="G704" s="24">
        <v>45759</v>
      </c>
      <c r="J704" s="39"/>
    </row>
    <row r="705" spans="1:10" ht="20.399999999999999" hidden="1" x14ac:dyDescent="0.45">
      <c r="A705" t="str">
        <f t="shared" si="34"/>
        <v>Pereira</v>
      </c>
      <c r="B705" t="str">
        <f t="shared" si="35"/>
        <v>Hotel Z3</v>
      </c>
      <c r="C705" s="37">
        <v>32</v>
      </c>
      <c r="D705" s="17">
        <v>17</v>
      </c>
      <c r="E705" s="31">
        <f>Cliente2[[#This Row],[Total_Ingresos]]/Cliente2[[#This Row],[Ocupadas]]</f>
        <v>166207.23529411765</v>
      </c>
      <c r="F705" s="34">
        <v>2825523</v>
      </c>
      <c r="G705" s="23">
        <v>45760</v>
      </c>
      <c r="J705" s="38"/>
    </row>
    <row r="706" spans="1:10" ht="20.399999999999999" hidden="1" x14ac:dyDescent="0.45">
      <c r="A706" t="str">
        <f t="shared" si="34"/>
        <v>Pereira</v>
      </c>
      <c r="B706" t="str">
        <f t="shared" si="35"/>
        <v>Hotel Z3</v>
      </c>
      <c r="C706" s="37">
        <v>32</v>
      </c>
      <c r="D706" s="17">
        <v>15</v>
      </c>
      <c r="E706" s="31">
        <f>Cliente2[[#This Row],[Total_Ingresos]]/Cliente2[[#This Row],[Ocupadas]]</f>
        <v>160103.73333333334</v>
      </c>
      <c r="F706" s="34">
        <v>2401556</v>
      </c>
      <c r="G706" s="24">
        <v>45761</v>
      </c>
      <c r="J706" s="39"/>
    </row>
    <row r="707" spans="1:10" ht="20.399999999999999" hidden="1" x14ac:dyDescent="0.45">
      <c r="A707" t="str">
        <f t="shared" si="34"/>
        <v>Pereira</v>
      </c>
      <c r="B707" t="str">
        <f t="shared" si="35"/>
        <v>Hotel Z3</v>
      </c>
      <c r="C707" s="37">
        <v>32</v>
      </c>
      <c r="D707" s="17">
        <v>18</v>
      </c>
      <c r="E707" s="31">
        <f>Cliente2[[#This Row],[Total_Ingresos]]/Cliente2[[#This Row],[Ocupadas]]</f>
        <v>155888.11111111112</v>
      </c>
      <c r="F707" s="34">
        <v>2805986</v>
      </c>
      <c r="G707" s="23">
        <v>45762</v>
      </c>
      <c r="J707" s="38"/>
    </row>
    <row r="708" spans="1:10" ht="20.399999999999999" hidden="1" x14ac:dyDescent="0.45">
      <c r="A708" t="str">
        <f t="shared" si="34"/>
        <v>Pereira</v>
      </c>
      <c r="B708" t="str">
        <f t="shared" si="35"/>
        <v>Hotel Z3</v>
      </c>
      <c r="C708" s="37">
        <v>32</v>
      </c>
      <c r="D708" s="17">
        <v>16</v>
      </c>
      <c r="E708" s="31">
        <f>Cliente2[[#This Row],[Total_Ingresos]]/Cliente2[[#This Row],[Ocupadas]]</f>
        <v>177432.5625</v>
      </c>
      <c r="F708" s="34">
        <v>2838921</v>
      </c>
      <c r="G708" s="24">
        <v>45763</v>
      </c>
      <c r="J708" s="39"/>
    </row>
    <row r="709" spans="1:10" ht="20.399999999999999" hidden="1" x14ac:dyDescent="0.45">
      <c r="A709" t="str">
        <f t="shared" si="34"/>
        <v>Pereira</v>
      </c>
      <c r="B709" t="str">
        <f t="shared" si="35"/>
        <v>Hotel Z3</v>
      </c>
      <c r="C709" s="37">
        <v>32</v>
      </c>
      <c r="D709" s="17">
        <v>28</v>
      </c>
      <c r="E709" s="31">
        <f>Cliente2[[#This Row],[Total_Ingresos]]/Cliente2[[#This Row],[Ocupadas]]</f>
        <v>173373.92857142858</v>
      </c>
      <c r="F709" s="34">
        <v>4854470</v>
      </c>
      <c r="G709" s="23">
        <v>45764</v>
      </c>
      <c r="J709" s="38"/>
    </row>
    <row r="710" spans="1:10" ht="20.399999999999999" hidden="1" x14ac:dyDescent="0.45">
      <c r="A710" t="str">
        <f t="shared" si="34"/>
        <v>Pereira</v>
      </c>
      <c r="B710" t="str">
        <f t="shared" si="35"/>
        <v>Hotel Z3</v>
      </c>
      <c r="C710" s="37">
        <v>32</v>
      </c>
      <c r="D710" s="17">
        <v>27</v>
      </c>
      <c r="E710" s="31">
        <f>Cliente2[[#This Row],[Total_Ingresos]]/Cliente2[[#This Row],[Ocupadas]]</f>
        <v>163184.51851851851</v>
      </c>
      <c r="F710" s="34">
        <v>4405982</v>
      </c>
      <c r="G710" s="24">
        <v>45765</v>
      </c>
      <c r="J710" s="39"/>
    </row>
    <row r="711" spans="1:10" ht="20.399999999999999" hidden="1" x14ac:dyDescent="0.45">
      <c r="A711" t="str">
        <f t="shared" si="34"/>
        <v>Pereira</v>
      </c>
      <c r="B711" t="str">
        <f t="shared" si="35"/>
        <v>Hotel Z3</v>
      </c>
      <c r="C711" s="37">
        <v>32</v>
      </c>
      <c r="D711" s="17">
        <v>20</v>
      </c>
      <c r="E711" s="31">
        <f>Cliente2[[#This Row],[Total_Ingresos]]/Cliente2[[#This Row],[Ocupadas]]</f>
        <v>160633.79999999999</v>
      </c>
      <c r="F711" s="34">
        <v>3212676</v>
      </c>
      <c r="G711" s="23">
        <v>45766</v>
      </c>
      <c r="J711" s="38"/>
    </row>
    <row r="712" spans="1:10" ht="20.399999999999999" hidden="1" x14ac:dyDescent="0.45">
      <c r="A712" t="str">
        <f t="shared" si="34"/>
        <v>Pereira</v>
      </c>
      <c r="B712" t="str">
        <f t="shared" si="35"/>
        <v>Hotel Z3</v>
      </c>
      <c r="C712" s="37">
        <v>32</v>
      </c>
      <c r="D712" s="17">
        <v>12</v>
      </c>
      <c r="E712" s="31">
        <f>Cliente2[[#This Row],[Total_Ingresos]]/Cliente2[[#This Row],[Ocupadas]]</f>
        <v>165479.83333333334</v>
      </c>
      <c r="F712" s="34">
        <v>1985758</v>
      </c>
      <c r="G712" s="24">
        <v>45767</v>
      </c>
      <c r="J712" s="39"/>
    </row>
    <row r="713" spans="1:10" ht="20.399999999999999" hidden="1" x14ac:dyDescent="0.45">
      <c r="A713" t="str">
        <f t="shared" si="34"/>
        <v>Pereira</v>
      </c>
      <c r="B713" t="str">
        <f t="shared" si="35"/>
        <v>Hotel Z3</v>
      </c>
      <c r="C713" s="37">
        <v>32</v>
      </c>
      <c r="D713" s="17">
        <v>23</v>
      </c>
      <c r="E713" s="31">
        <f>Cliente2[[#This Row],[Total_Ingresos]]/Cliente2[[#This Row],[Ocupadas]]</f>
        <v>158451</v>
      </c>
      <c r="F713" s="34">
        <v>3644373</v>
      </c>
      <c r="G713" s="23">
        <v>45768</v>
      </c>
      <c r="J713" s="38"/>
    </row>
    <row r="714" spans="1:10" ht="20.399999999999999" hidden="1" x14ac:dyDescent="0.45">
      <c r="A714" t="str">
        <f t="shared" si="34"/>
        <v>Pereira</v>
      </c>
      <c r="B714" t="str">
        <f t="shared" si="35"/>
        <v>Hotel Z3</v>
      </c>
      <c r="C714" s="37">
        <v>32</v>
      </c>
      <c r="D714" s="17">
        <v>22</v>
      </c>
      <c r="E714" s="31">
        <f>Cliente2[[#This Row],[Total_Ingresos]]/Cliente2[[#This Row],[Ocupadas]]</f>
        <v>159311.59090909091</v>
      </c>
      <c r="F714" s="34">
        <v>3504855</v>
      </c>
      <c r="G714" s="24">
        <v>45769</v>
      </c>
      <c r="J714" s="39"/>
    </row>
    <row r="715" spans="1:10" ht="20.399999999999999" hidden="1" x14ac:dyDescent="0.45">
      <c r="A715" t="str">
        <f t="shared" si="34"/>
        <v>Pereira</v>
      </c>
      <c r="B715" t="str">
        <f t="shared" si="35"/>
        <v>Hotel Z3</v>
      </c>
      <c r="C715" s="37">
        <v>32</v>
      </c>
      <c r="D715" s="17">
        <v>27</v>
      </c>
      <c r="E715" s="31">
        <f>Cliente2[[#This Row],[Total_Ingresos]]/Cliente2[[#This Row],[Ocupadas]]</f>
        <v>163780.03703703705</v>
      </c>
      <c r="F715" s="34">
        <v>4422061</v>
      </c>
      <c r="G715" s="23">
        <v>45770</v>
      </c>
      <c r="J715" s="38"/>
    </row>
    <row r="716" spans="1:10" ht="20.399999999999999" hidden="1" x14ac:dyDescent="0.45">
      <c r="A716" t="str">
        <f t="shared" si="34"/>
        <v>Pereira</v>
      </c>
      <c r="B716" t="str">
        <f t="shared" si="35"/>
        <v>Hotel Z3</v>
      </c>
      <c r="C716" s="37">
        <v>32</v>
      </c>
      <c r="D716" s="17">
        <v>26</v>
      </c>
      <c r="E716" s="31">
        <f>Cliente2[[#This Row],[Total_Ingresos]]/Cliente2[[#This Row],[Ocupadas]]</f>
        <v>159814.69230769231</v>
      </c>
      <c r="F716" s="34">
        <v>4155182</v>
      </c>
      <c r="G716" s="24">
        <v>45771</v>
      </c>
      <c r="J716" s="39"/>
    </row>
    <row r="717" spans="1:10" ht="20.399999999999999" hidden="1" x14ac:dyDescent="0.45">
      <c r="A717" t="str">
        <f t="shared" si="34"/>
        <v>Pereira</v>
      </c>
      <c r="B717" t="str">
        <f t="shared" si="35"/>
        <v>Hotel Z3</v>
      </c>
      <c r="C717" s="37">
        <v>32</v>
      </c>
      <c r="D717" s="17">
        <v>18</v>
      </c>
      <c r="E717" s="31">
        <f>Cliente2[[#This Row],[Total_Ingresos]]/Cliente2[[#This Row],[Ocupadas]]</f>
        <v>155710.44444444444</v>
      </c>
      <c r="F717" s="34">
        <v>2802788</v>
      </c>
      <c r="G717" s="23">
        <v>45772</v>
      </c>
      <c r="J717" s="38"/>
    </row>
    <row r="718" spans="1:10" ht="20.399999999999999" hidden="1" x14ac:dyDescent="0.45">
      <c r="A718" t="str">
        <f t="shared" si="34"/>
        <v>Pereira</v>
      </c>
      <c r="B718" t="str">
        <f t="shared" si="35"/>
        <v>Hotel Z3</v>
      </c>
      <c r="C718" s="37">
        <v>32</v>
      </c>
      <c r="D718" s="17">
        <v>16</v>
      </c>
      <c r="E718" s="31">
        <f>Cliente2[[#This Row],[Total_Ingresos]]/Cliente2[[#This Row],[Ocupadas]]</f>
        <v>146091.6875</v>
      </c>
      <c r="F718" s="34">
        <v>2337467</v>
      </c>
      <c r="G718" s="24">
        <v>45773</v>
      </c>
      <c r="J718" s="39"/>
    </row>
    <row r="719" spans="1:10" ht="20.399999999999999" hidden="1" x14ac:dyDescent="0.45">
      <c r="A719" t="str">
        <f t="shared" si="34"/>
        <v>Pereira</v>
      </c>
      <c r="B719" t="str">
        <f t="shared" si="35"/>
        <v>Hotel Z3</v>
      </c>
      <c r="C719" s="37">
        <v>32</v>
      </c>
      <c r="D719" s="17">
        <v>5</v>
      </c>
      <c r="E719" s="31">
        <f>Cliente2[[#This Row],[Total_Ingresos]]/Cliente2[[#This Row],[Ocupadas]]</f>
        <v>193598.8</v>
      </c>
      <c r="F719" s="34">
        <v>967994</v>
      </c>
      <c r="G719" s="23">
        <v>45774</v>
      </c>
      <c r="J719" s="38"/>
    </row>
    <row r="720" spans="1:10" ht="20.399999999999999" hidden="1" x14ac:dyDescent="0.45">
      <c r="A720" t="str">
        <f t="shared" si="34"/>
        <v>Pereira</v>
      </c>
      <c r="B720" t="str">
        <f t="shared" si="35"/>
        <v>Hotel Z3</v>
      </c>
      <c r="C720" s="37">
        <v>32</v>
      </c>
      <c r="D720" s="17">
        <v>16</v>
      </c>
      <c r="E720" s="31">
        <f>Cliente2[[#This Row],[Total_Ingresos]]/Cliente2[[#This Row],[Ocupadas]]</f>
        <v>145859.0625</v>
      </c>
      <c r="F720" s="34">
        <v>2333745</v>
      </c>
      <c r="G720" s="24">
        <v>45775</v>
      </c>
      <c r="J720" s="39"/>
    </row>
    <row r="721" spans="1:10" ht="20.399999999999999" hidden="1" x14ac:dyDescent="0.45">
      <c r="A721" t="str">
        <f t="shared" si="34"/>
        <v>Pereira</v>
      </c>
      <c r="B721" t="str">
        <f t="shared" si="35"/>
        <v>Hotel Z3</v>
      </c>
      <c r="C721" s="37">
        <v>32</v>
      </c>
      <c r="D721" s="17">
        <v>15</v>
      </c>
      <c r="E721" s="31">
        <f>Cliente2[[#This Row],[Total_Ingresos]]/Cliente2[[#This Row],[Ocupadas]]</f>
        <v>158247.93333333332</v>
      </c>
      <c r="F721" s="34">
        <v>2373719</v>
      </c>
      <c r="G721" s="23">
        <v>45776</v>
      </c>
      <c r="J721" s="38"/>
    </row>
    <row r="722" spans="1:10" ht="20.399999999999999" hidden="1" x14ac:dyDescent="0.45">
      <c r="A722" t="str">
        <f t="shared" si="34"/>
        <v>Pereira</v>
      </c>
      <c r="B722" t="str">
        <f t="shared" si="35"/>
        <v>Hotel Z3</v>
      </c>
      <c r="C722" s="37">
        <v>32</v>
      </c>
      <c r="D722" s="17">
        <v>21</v>
      </c>
      <c r="E722" s="31">
        <f>Cliente2[[#This Row],[Total_Ingresos]]/Cliente2[[#This Row],[Ocupadas]]</f>
        <v>159290.66666666666</v>
      </c>
      <c r="F722" s="34">
        <v>3345104</v>
      </c>
      <c r="G722" s="24">
        <v>45777</v>
      </c>
      <c r="J722" s="39"/>
    </row>
    <row r="723" spans="1:10" ht="20.399999999999999" hidden="1" x14ac:dyDescent="0.45">
      <c r="A723" t="str">
        <f t="shared" si="34"/>
        <v>Pereira</v>
      </c>
      <c r="B723" t="str">
        <f t="shared" si="35"/>
        <v>Hotel Z3</v>
      </c>
      <c r="C723" s="37"/>
      <c r="D723" s="17"/>
      <c r="E723" s="31"/>
      <c r="G723" s="23">
        <v>45778</v>
      </c>
      <c r="J723" s="40"/>
    </row>
    <row r="724" spans="1:10" ht="20.399999999999999" hidden="1" x14ac:dyDescent="0.45">
      <c r="A724" t="str">
        <f t="shared" si="34"/>
        <v>Pereira</v>
      </c>
      <c r="B724" t="str">
        <f t="shared" si="35"/>
        <v>Hotel Z3</v>
      </c>
      <c r="C724" s="36"/>
      <c r="E724" s="31"/>
      <c r="G724" s="24">
        <v>45779</v>
      </c>
    </row>
    <row r="725" spans="1:10" hidden="1" x14ac:dyDescent="0.3">
      <c r="A725" t="str">
        <f t="shared" si="34"/>
        <v>Pereira</v>
      </c>
      <c r="B725" t="str">
        <f t="shared" si="35"/>
        <v>Hotel Z3</v>
      </c>
      <c r="C725" s="36"/>
      <c r="F725" s="15">
        <f>Cliente2[[#This Row],[Tarifa]]*Cliente2[[#This Row],[Ocupadas]]</f>
        <v>0</v>
      </c>
      <c r="G725" s="23">
        <v>45780</v>
      </c>
    </row>
    <row r="726" spans="1:10" hidden="1" x14ac:dyDescent="0.3">
      <c r="A726" t="str">
        <f t="shared" si="34"/>
        <v>Pereira</v>
      </c>
      <c r="B726" t="str">
        <f t="shared" si="35"/>
        <v>Hotel Z3</v>
      </c>
      <c r="C726" s="36"/>
      <c r="F726" s="15">
        <f>Cliente2[[#This Row],[Tarifa]]*Cliente2[[#This Row],[Ocupadas]]</f>
        <v>0</v>
      </c>
      <c r="G726" s="24">
        <v>45781</v>
      </c>
    </row>
    <row r="727" spans="1:10" hidden="1" x14ac:dyDescent="0.3">
      <c r="A727" t="str">
        <f t="shared" si="34"/>
        <v>Pereira</v>
      </c>
      <c r="B727" t="str">
        <f t="shared" si="35"/>
        <v>Hotel Z3</v>
      </c>
      <c r="C727" s="36"/>
      <c r="F727" s="15">
        <f>Cliente2[[#This Row],[Tarifa]]*Cliente2[[#This Row],[Ocupadas]]</f>
        <v>0</v>
      </c>
      <c r="G727" s="23">
        <v>45782</v>
      </c>
    </row>
    <row r="728" spans="1:10" hidden="1" x14ac:dyDescent="0.3">
      <c r="A728" t="str">
        <f t="shared" si="34"/>
        <v>Pereira</v>
      </c>
      <c r="B728" t="str">
        <f t="shared" si="35"/>
        <v>Hotel Z3</v>
      </c>
      <c r="C728" s="36"/>
      <c r="F728" s="15">
        <f>Cliente2[[#This Row],[Tarifa]]*Cliente2[[#This Row],[Ocupadas]]</f>
        <v>0</v>
      </c>
      <c r="G728" s="24">
        <v>45783</v>
      </c>
    </row>
    <row r="729" spans="1:10" hidden="1" x14ac:dyDescent="0.3">
      <c r="A729" t="str">
        <f t="shared" si="34"/>
        <v>Pereira</v>
      </c>
      <c r="B729" t="str">
        <f t="shared" si="35"/>
        <v>Hotel Z3</v>
      </c>
      <c r="C729" s="36"/>
      <c r="F729" s="15">
        <f>Cliente2[[#This Row],[Tarifa]]*Cliente2[[#This Row],[Ocupadas]]</f>
        <v>0</v>
      </c>
      <c r="G729" s="23">
        <v>45784</v>
      </c>
    </row>
    <row r="730" spans="1:10" hidden="1" x14ac:dyDescent="0.3">
      <c r="A730" t="str">
        <f t="shared" si="34"/>
        <v>Pereira</v>
      </c>
      <c r="B730" t="str">
        <f t="shared" si="35"/>
        <v>Hotel Z3</v>
      </c>
      <c r="C730" s="36"/>
      <c r="F730" s="15">
        <f>Cliente2[[#This Row],[Tarifa]]*Cliente2[[#This Row],[Ocupadas]]</f>
        <v>0</v>
      </c>
      <c r="G730" s="24">
        <v>45785</v>
      </c>
    </row>
    <row r="731" spans="1:10" hidden="1" x14ac:dyDescent="0.3">
      <c r="A731" t="str">
        <f t="shared" si="34"/>
        <v>Pereira</v>
      </c>
      <c r="B731" t="str">
        <f t="shared" si="35"/>
        <v>Hotel Z3</v>
      </c>
      <c r="C731" s="36"/>
      <c r="F731" s="15">
        <f>Cliente2[[#This Row],[Tarifa]]*Cliente2[[#This Row],[Ocupadas]]</f>
        <v>0</v>
      </c>
      <c r="G731" s="23">
        <v>45786</v>
      </c>
    </row>
    <row r="732" spans="1:10" hidden="1" x14ac:dyDescent="0.3">
      <c r="A732" t="str">
        <f t="shared" si="34"/>
        <v>Pereira</v>
      </c>
      <c r="B732" t="str">
        <f t="shared" si="35"/>
        <v>Hotel Z3</v>
      </c>
      <c r="C732" s="36"/>
      <c r="F732" s="15">
        <f>Cliente2[[#This Row],[Tarifa]]*Cliente2[[#This Row],[Ocupadas]]</f>
        <v>0</v>
      </c>
      <c r="G732" s="24">
        <v>45787</v>
      </c>
    </row>
    <row r="733" spans="1:10" hidden="1" x14ac:dyDescent="0.3">
      <c r="A733" t="str">
        <f t="shared" si="34"/>
        <v>Pereira</v>
      </c>
      <c r="B733" t="str">
        <f t="shared" si="35"/>
        <v>Hotel Z3</v>
      </c>
      <c r="C733" s="36"/>
      <c r="F733" s="15">
        <f>Cliente2[[#This Row],[Tarifa]]*Cliente2[[#This Row],[Ocupadas]]</f>
        <v>0</v>
      </c>
      <c r="G733" s="23">
        <v>45788</v>
      </c>
    </row>
    <row r="734" spans="1:10" hidden="1" x14ac:dyDescent="0.3">
      <c r="A734" t="str">
        <f t="shared" si="34"/>
        <v>Pereira</v>
      </c>
      <c r="B734" t="str">
        <f t="shared" si="35"/>
        <v>Hotel Z3</v>
      </c>
      <c r="C734" s="36"/>
      <c r="F734" s="15">
        <f>Cliente2[[#This Row],[Tarifa]]*Cliente2[[#This Row],[Ocupadas]]</f>
        <v>0</v>
      </c>
      <c r="G734" s="24">
        <v>45789</v>
      </c>
    </row>
    <row r="735" spans="1:10" hidden="1" x14ac:dyDescent="0.3">
      <c r="A735" t="s">
        <v>31</v>
      </c>
      <c r="B735" t="s">
        <v>26</v>
      </c>
      <c r="F735" s="15">
        <f>Cliente2[[#This Row],[Tarifa]]*Cliente2[[#This Row],[Ocupadas]]</f>
        <v>0</v>
      </c>
      <c r="G735" s="14">
        <v>46305</v>
      </c>
    </row>
    <row r="736" spans="1:10" hidden="1" x14ac:dyDescent="0.3">
      <c r="A736" t="str">
        <f t="shared" ref="A736:A776" si="36">+A735</f>
        <v xml:space="preserve">Guatapé </v>
      </c>
      <c r="B736" t="str">
        <f t="shared" ref="B736:B776" si="37">+B735</f>
        <v>Hotel Portobelo Guatape</v>
      </c>
      <c r="F736" s="15">
        <f>Cliente2[[#This Row],[Tarifa]]*Cliente2[[#This Row],[Ocupadas]]</f>
        <v>0</v>
      </c>
      <c r="G736" s="14">
        <v>46306</v>
      </c>
    </row>
    <row r="737" spans="1:7" hidden="1" x14ac:dyDescent="0.3">
      <c r="A737" t="str">
        <f t="shared" si="36"/>
        <v xml:space="preserve">Guatapé </v>
      </c>
      <c r="B737" t="str">
        <f t="shared" si="37"/>
        <v>Hotel Portobelo Guatape</v>
      </c>
      <c r="F737" s="15">
        <f>Cliente2[[#This Row],[Tarifa]]*Cliente2[[#This Row],[Ocupadas]]</f>
        <v>0</v>
      </c>
      <c r="G737" s="14">
        <v>46307</v>
      </c>
    </row>
    <row r="738" spans="1:7" hidden="1" x14ac:dyDescent="0.3">
      <c r="A738" t="str">
        <f t="shared" si="36"/>
        <v xml:space="preserve">Guatapé </v>
      </c>
      <c r="B738" t="str">
        <f t="shared" si="37"/>
        <v>Hotel Portobelo Guatape</v>
      </c>
      <c r="F738" s="15">
        <f>Cliente2[[#This Row],[Tarifa]]*Cliente2[[#This Row],[Ocupadas]]</f>
        <v>0</v>
      </c>
      <c r="G738" s="14">
        <v>46308</v>
      </c>
    </row>
    <row r="739" spans="1:7" hidden="1" x14ac:dyDescent="0.3">
      <c r="A739" t="str">
        <f t="shared" si="36"/>
        <v xml:space="preserve">Guatapé </v>
      </c>
      <c r="B739" t="str">
        <f t="shared" si="37"/>
        <v>Hotel Portobelo Guatape</v>
      </c>
      <c r="F739" s="15">
        <f>Cliente2[[#This Row],[Tarifa]]*Cliente2[[#This Row],[Ocupadas]]</f>
        <v>0</v>
      </c>
      <c r="G739" s="14">
        <v>46309</v>
      </c>
    </row>
    <row r="740" spans="1:7" hidden="1" x14ac:dyDescent="0.3">
      <c r="A740" t="str">
        <f t="shared" si="36"/>
        <v xml:space="preserve">Guatapé </v>
      </c>
      <c r="B740" t="str">
        <f t="shared" si="37"/>
        <v>Hotel Portobelo Guatape</v>
      </c>
      <c r="F740" s="15">
        <f>Cliente2[[#This Row],[Tarifa]]*Cliente2[[#This Row],[Ocupadas]]</f>
        <v>0</v>
      </c>
      <c r="G740" s="14">
        <v>46310</v>
      </c>
    </row>
    <row r="741" spans="1:7" hidden="1" x14ac:dyDescent="0.3">
      <c r="A741" t="str">
        <f t="shared" si="36"/>
        <v xml:space="preserve">Guatapé </v>
      </c>
      <c r="B741" t="str">
        <f t="shared" si="37"/>
        <v>Hotel Portobelo Guatape</v>
      </c>
      <c r="F741" s="15">
        <f>Cliente2[[#This Row],[Tarifa]]*Cliente2[[#This Row],[Ocupadas]]</f>
        <v>0</v>
      </c>
      <c r="G741" s="14">
        <v>46311</v>
      </c>
    </row>
    <row r="742" spans="1:7" hidden="1" x14ac:dyDescent="0.3">
      <c r="A742" t="str">
        <f t="shared" si="36"/>
        <v xml:space="preserve">Guatapé </v>
      </c>
      <c r="B742" t="str">
        <f t="shared" si="37"/>
        <v>Hotel Portobelo Guatape</v>
      </c>
      <c r="F742" s="15">
        <f>Cliente2[[#This Row],[Tarifa]]*Cliente2[[#This Row],[Ocupadas]]</f>
        <v>0</v>
      </c>
      <c r="G742" s="14">
        <v>46312</v>
      </c>
    </row>
    <row r="743" spans="1:7" hidden="1" x14ac:dyDescent="0.3">
      <c r="A743" t="str">
        <f t="shared" si="36"/>
        <v xml:space="preserve">Guatapé </v>
      </c>
      <c r="B743" t="str">
        <f t="shared" si="37"/>
        <v>Hotel Portobelo Guatape</v>
      </c>
      <c r="F743" s="15">
        <f>Cliente2[[#This Row],[Tarifa]]*Cliente2[[#This Row],[Ocupadas]]</f>
        <v>0</v>
      </c>
      <c r="G743" s="14">
        <v>46313</v>
      </c>
    </row>
    <row r="744" spans="1:7" hidden="1" x14ac:dyDescent="0.3">
      <c r="A744" t="str">
        <f t="shared" si="36"/>
        <v xml:space="preserve">Guatapé </v>
      </c>
      <c r="B744" t="str">
        <f t="shared" si="37"/>
        <v>Hotel Portobelo Guatape</v>
      </c>
      <c r="F744" s="15">
        <f>Cliente2[[#This Row],[Tarifa]]*Cliente2[[#This Row],[Ocupadas]]</f>
        <v>0</v>
      </c>
      <c r="G744" s="14">
        <v>46314</v>
      </c>
    </row>
    <row r="745" spans="1:7" hidden="1" x14ac:dyDescent="0.3">
      <c r="A745" t="str">
        <f t="shared" si="36"/>
        <v xml:space="preserve">Guatapé </v>
      </c>
      <c r="B745" t="str">
        <f t="shared" si="37"/>
        <v>Hotel Portobelo Guatape</v>
      </c>
      <c r="F745" s="15">
        <f>Cliente2[[#This Row],[Tarifa]]*Cliente2[[#This Row],[Ocupadas]]</f>
        <v>0</v>
      </c>
      <c r="G745" s="14">
        <v>46315</v>
      </c>
    </row>
    <row r="746" spans="1:7" hidden="1" x14ac:dyDescent="0.3">
      <c r="A746" t="str">
        <f t="shared" si="36"/>
        <v xml:space="preserve">Guatapé </v>
      </c>
      <c r="B746" t="str">
        <f t="shared" si="37"/>
        <v>Hotel Portobelo Guatape</v>
      </c>
      <c r="F746" s="15">
        <f>Cliente2[[#This Row],[Tarifa]]*Cliente2[[#This Row],[Ocupadas]]</f>
        <v>0</v>
      </c>
      <c r="G746" s="14">
        <v>46316</v>
      </c>
    </row>
    <row r="747" spans="1:7" hidden="1" x14ac:dyDescent="0.3">
      <c r="A747" t="str">
        <f t="shared" si="36"/>
        <v xml:space="preserve">Guatapé </v>
      </c>
      <c r="B747" t="str">
        <f t="shared" si="37"/>
        <v>Hotel Portobelo Guatape</v>
      </c>
      <c r="F747" s="15">
        <f>Cliente2[[#This Row],[Tarifa]]*Cliente2[[#This Row],[Ocupadas]]</f>
        <v>0</v>
      </c>
      <c r="G747" s="14">
        <v>46317</v>
      </c>
    </row>
    <row r="748" spans="1:7" hidden="1" x14ac:dyDescent="0.3">
      <c r="A748" t="str">
        <f t="shared" si="36"/>
        <v xml:space="preserve">Guatapé </v>
      </c>
      <c r="B748" t="str">
        <f t="shared" si="37"/>
        <v>Hotel Portobelo Guatape</v>
      </c>
      <c r="F748" s="15">
        <f>Cliente2[[#This Row],[Tarifa]]*Cliente2[[#This Row],[Ocupadas]]</f>
        <v>0</v>
      </c>
      <c r="G748" s="14">
        <v>46318</v>
      </c>
    </row>
    <row r="749" spans="1:7" hidden="1" x14ac:dyDescent="0.3">
      <c r="A749" t="str">
        <f t="shared" si="36"/>
        <v xml:space="preserve">Guatapé </v>
      </c>
      <c r="B749" t="str">
        <f t="shared" si="37"/>
        <v>Hotel Portobelo Guatape</v>
      </c>
      <c r="F749" s="15">
        <f>Cliente2[[#This Row],[Tarifa]]*Cliente2[[#This Row],[Ocupadas]]</f>
        <v>0</v>
      </c>
      <c r="G749" s="14">
        <v>46319</v>
      </c>
    </row>
    <row r="750" spans="1:7" hidden="1" x14ac:dyDescent="0.3">
      <c r="A750" t="str">
        <f t="shared" si="36"/>
        <v xml:space="preserve">Guatapé </v>
      </c>
      <c r="B750" t="str">
        <f t="shared" si="37"/>
        <v>Hotel Portobelo Guatape</v>
      </c>
      <c r="F750" s="15">
        <f>Cliente2[[#This Row],[Tarifa]]*Cliente2[[#This Row],[Ocupadas]]</f>
        <v>0</v>
      </c>
      <c r="G750" s="14">
        <v>46320</v>
      </c>
    </row>
    <row r="751" spans="1:7" hidden="1" x14ac:dyDescent="0.3">
      <c r="A751" t="str">
        <f t="shared" si="36"/>
        <v xml:space="preserve">Guatapé </v>
      </c>
      <c r="B751" t="str">
        <f t="shared" si="37"/>
        <v>Hotel Portobelo Guatape</v>
      </c>
      <c r="F751" s="15">
        <f>Cliente2[[#This Row],[Tarifa]]*Cliente2[[#This Row],[Ocupadas]]</f>
        <v>0</v>
      </c>
      <c r="G751" s="14">
        <v>46321</v>
      </c>
    </row>
    <row r="752" spans="1:7" hidden="1" x14ac:dyDescent="0.3">
      <c r="A752" t="str">
        <f t="shared" si="36"/>
        <v xml:space="preserve">Guatapé </v>
      </c>
      <c r="B752" t="str">
        <f t="shared" si="37"/>
        <v>Hotel Portobelo Guatape</v>
      </c>
      <c r="F752" s="15">
        <f>Cliente2[[#This Row],[Tarifa]]*Cliente2[[#This Row],[Ocupadas]]</f>
        <v>0</v>
      </c>
      <c r="G752" s="14">
        <v>46322</v>
      </c>
    </row>
    <row r="753" spans="1:7" hidden="1" x14ac:dyDescent="0.3">
      <c r="A753" t="str">
        <f t="shared" si="36"/>
        <v xml:space="preserve">Guatapé </v>
      </c>
      <c r="B753" t="str">
        <f t="shared" si="37"/>
        <v>Hotel Portobelo Guatape</v>
      </c>
      <c r="F753" s="15">
        <f>Cliente2[[#This Row],[Tarifa]]*Cliente2[[#This Row],[Ocupadas]]</f>
        <v>0</v>
      </c>
      <c r="G753" s="14">
        <v>46323</v>
      </c>
    </row>
    <row r="754" spans="1:7" hidden="1" x14ac:dyDescent="0.3">
      <c r="A754" t="str">
        <f t="shared" si="36"/>
        <v xml:space="preserve">Guatapé </v>
      </c>
      <c r="B754" t="str">
        <f t="shared" si="37"/>
        <v>Hotel Portobelo Guatape</v>
      </c>
      <c r="F754" s="15">
        <f>Cliente2[[#This Row],[Tarifa]]*Cliente2[[#This Row],[Ocupadas]]</f>
        <v>0</v>
      </c>
      <c r="G754" s="14">
        <v>46324</v>
      </c>
    </row>
    <row r="755" spans="1:7" hidden="1" x14ac:dyDescent="0.3">
      <c r="A755" t="str">
        <f t="shared" si="36"/>
        <v xml:space="preserve">Guatapé </v>
      </c>
      <c r="B755" t="str">
        <f t="shared" si="37"/>
        <v>Hotel Portobelo Guatape</v>
      </c>
      <c r="F755" s="15">
        <f>Cliente2[[#This Row],[Tarifa]]*Cliente2[[#This Row],[Ocupadas]]</f>
        <v>0</v>
      </c>
      <c r="G755" s="14">
        <v>46325</v>
      </c>
    </row>
    <row r="756" spans="1:7" hidden="1" x14ac:dyDescent="0.3">
      <c r="A756" t="str">
        <f t="shared" si="36"/>
        <v xml:space="preserve">Guatapé </v>
      </c>
      <c r="B756" t="str">
        <f t="shared" si="37"/>
        <v>Hotel Portobelo Guatape</v>
      </c>
      <c r="F756" s="15">
        <f>Cliente2[[#This Row],[Tarifa]]*Cliente2[[#This Row],[Ocupadas]]</f>
        <v>0</v>
      </c>
      <c r="G756" s="14">
        <v>46326</v>
      </c>
    </row>
    <row r="757" spans="1:7" hidden="1" x14ac:dyDescent="0.3">
      <c r="A757" t="str">
        <f t="shared" si="36"/>
        <v xml:space="preserve">Guatapé </v>
      </c>
      <c r="B757" t="str">
        <f t="shared" si="37"/>
        <v>Hotel Portobelo Guatape</v>
      </c>
      <c r="F757" s="15">
        <f>Cliente2[[#This Row],[Tarifa]]*Cliente2[[#This Row],[Ocupadas]]</f>
        <v>0</v>
      </c>
      <c r="G757" s="14">
        <v>46327</v>
      </c>
    </row>
    <row r="758" spans="1:7" hidden="1" x14ac:dyDescent="0.3">
      <c r="A758" t="str">
        <f t="shared" si="36"/>
        <v xml:space="preserve">Guatapé </v>
      </c>
      <c r="B758" t="str">
        <f t="shared" si="37"/>
        <v>Hotel Portobelo Guatape</v>
      </c>
      <c r="F758" s="15">
        <f>Cliente2[[#This Row],[Tarifa]]*Cliente2[[#This Row],[Ocupadas]]</f>
        <v>0</v>
      </c>
      <c r="G758" s="14">
        <v>46328</v>
      </c>
    </row>
    <row r="759" spans="1:7" hidden="1" x14ac:dyDescent="0.3">
      <c r="A759" t="str">
        <f t="shared" si="36"/>
        <v xml:space="preserve">Guatapé </v>
      </c>
      <c r="B759" t="str">
        <f t="shared" si="37"/>
        <v>Hotel Portobelo Guatape</v>
      </c>
      <c r="F759" s="15">
        <f>Cliente2[[#This Row],[Tarifa]]*Cliente2[[#This Row],[Ocupadas]]</f>
        <v>0</v>
      </c>
      <c r="G759" s="14">
        <v>46329</v>
      </c>
    </row>
    <row r="760" spans="1:7" hidden="1" x14ac:dyDescent="0.3">
      <c r="A760" t="str">
        <f t="shared" si="36"/>
        <v xml:space="preserve">Guatapé </v>
      </c>
      <c r="B760" t="str">
        <f t="shared" si="37"/>
        <v>Hotel Portobelo Guatape</v>
      </c>
      <c r="F760" s="15">
        <f>Cliente2[[#This Row],[Tarifa]]*Cliente2[[#This Row],[Ocupadas]]</f>
        <v>0</v>
      </c>
      <c r="G760" s="14">
        <v>46330</v>
      </c>
    </row>
    <row r="761" spans="1:7" hidden="1" x14ac:dyDescent="0.3">
      <c r="A761" t="str">
        <f t="shared" si="36"/>
        <v xml:space="preserve">Guatapé </v>
      </c>
      <c r="B761" t="str">
        <f t="shared" si="37"/>
        <v>Hotel Portobelo Guatape</v>
      </c>
      <c r="F761" s="15">
        <f>Cliente2[[#This Row],[Tarifa]]*Cliente2[[#This Row],[Ocupadas]]</f>
        <v>0</v>
      </c>
      <c r="G761" s="14">
        <v>46331</v>
      </c>
    </row>
    <row r="762" spans="1:7" hidden="1" x14ac:dyDescent="0.3">
      <c r="A762" t="str">
        <f t="shared" si="36"/>
        <v xml:space="preserve">Guatapé </v>
      </c>
      <c r="B762" t="str">
        <f t="shared" si="37"/>
        <v>Hotel Portobelo Guatape</v>
      </c>
      <c r="F762" s="15">
        <f>Cliente2[[#This Row],[Tarifa]]*Cliente2[[#This Row],[Ocupadas]]</f>
        <v>0</v>
      </c>
      <c r="G762" s="14">
        <v>46332</v>
      </c>
    </row>
    <row r="763" spans="1:7" hidden="1" x14ac:dyDescent="0.3">
      <c r="A763" t="str">
        <f t="shared" si="36"/>
        <v xml:space="preserve">Guatapé </v>
      </c>
      <c r="B763" t="str">
        <f t="shared" si="37"/>
        <v>Hotel Portobelo Guatape</v>
      </c>
      <c r="F763" s="15">
        <f>Cliente2[[#This Row],[Tarifa]]*Cliente2[[#This Row],[Ocupadas]]</f>
        <v>0</v>
      </c>
      <c r="G763" s="14">
        <v>46333</v>
      </c>
    </row>
    <row r="764" spans="1:7" hidden="1" x14ac:dyDescent="0.3">
      <c r="A764" t="str">
        <f t="shared" si="36"/>
        <v xml:space="preserve">Guatapé </v>
      </c>
      <c r="B764" t="str">
        <f t="shared" si="37"/>
        <v>Hotel Portobelo Guatape</v>
      </c>
      <c r="F764" s="15">
        <f>Cliente2[[#This Row],[Tarifa]]*Cliente2[[#This Row],[Ocupadas]]</f>
        <v>0</v>
      </c>
      <c r="G764" s="14">
        <v>46334</v>
      </c>
    </row>
    <row r="765" spans="1:7" hidden="1" x14ac:dyDescent="0.3">
      <c r="A765" t="str">
        <f t="shared" si="36"/>
        <v xml:space="preserve">Guatapé </v>
      </c>
      <c r="B765" t="str">
        <f t="shared" si="37"/>
        <v>Hotel Portobelo Guatape</v>
      </c>
      <c r="F765" s="15">
        <f>Cliente2[[#This Row],[Tarifa]]*Cliente2[[#This Row],[Ocupadas]]</f>
        <v>0</v>
      </c>
      <c r="G765" s="14">
        <v>46335</v>
      </c>
    </row>
    <row r="766" spans="1:7" hidden="1" x14ac:dyDescent="0.3">
      <c r="A766" t="str">
        <f t="shared" si="36"/>
        <v xml:space="preserve">Guatapé </v>
      </c>
      <c r="B766" t="str">
        <f t="shared" si="37"/>
        <v>Hotel Portobelo Guatape</v>
      </c>
      <c r="F766" s="15">
        <f>Cliente2[[#This Row],[Tarifa]]*Cliente2[[#This Row],[Ocupadas]]</f>
        <v>0</v>
      </c>
      <c r="G766" s="14">
        <v>46336</v>
      </c>
    </row>
    <row r="767" spans="1:7" hidden="1" x14ac:dyDescent="0.3">
      <c r="A767" t="str">
        <f t="shared" si="36"/>
        <v xml:space="preserve">Guatapé </v>
      </c>
      <c r="B767" t="str">
        <f t="shared" si="37"/>
        <v>Hotel Portobelo Guatape</v>
      </c>
      <c r="F767" s="15">
        <f>Cliente2[[#This Row],[Tarifa]]*Cliente2[[#This Row],[Ocupadas]]</f>
        <v>0</v>
      </c>
      <c r="G767" s="14">
        <v>46337</v>
      </c>
    </row>
    <row r="768" spans="1:7" hidden="1" x14ac:dyDescent="0.3">
      <c r="A768" t="str">
        <f t="shared" si="36"/>
        <v xml:space="preserve">Guatapé </v>
      </c>
      <c r="B768" t="str">
        <f t="shared" si="37"/>
        <v>Hotel Portobelo Guatape</v>
      </c>
      <c r="F768" s="15">
        <f>Cliente2[[#This Row],[Tarifa]]*Cliente2[[#This Row],[Ocupadas]]</f>
        <v>0</v>
      </c>
      <c r="G768" s="14">
        <v>46338</v>
      </c>
    </row>
    <row r="769" spans="1:7" hidden="1" x14ac:dyDescent="0.3">
      <c r="A769" t="str">
        <f t="shared" si="36"/>
        <v xml:space="preserve">Guatapé </v>
      </c>
      <c r="B769" t="str">
        <f t="shared" si="37"/>
        <v>Hotel Portobelo Guatape</v>
      </c>
      <c r="F769" s="15">
        <f>Cliente2[[#This Row],[Tarifa]]*Cliente2[[#This Row],[Ocupadas]]</f>
        <v>0</v>
      </c>
      <c r="G769" s="14">
        <v>46339</v>
      </c>
    </row>
    <row r="770" spans="1:7" hidden="1" x14ac:dyDescent="0.3">
      <c r="A770" t="str">
        <f t="shared" si="36"/>
        <v xml:space="preserve">Guatapé </v>
      </c>
      <c r="B770" t="str">
        <f t="shared" si="37"/>
        <v>Hotel Portobelo Guatape</v>
      </c>
      <c r="F770" s="15">
        <f>Cliente2[[#This Row],[Tarifa]]*Cliente2[[#This Row],[Ocupadas]]</f>
        <v>0</v>
      </c>
      <c r="G770" s="14">
        <v>46340</v>
      </c>
    </row>
    <row r="771" spans="1:7" hidden="1" x14ac:dyDescent="0.3">
      <c r="A771" t="str">
        <f t="shared" si="36"/>
        <v xml:space="preserve">Guatapé </v>
      </c>
      <c r="B771" t="str">
        <f t="shared" si="37"/>
        <v>Hotel Portobelo Guatape</v>
      </c>
      <c r="F771" s="15">
        <f>Cliente2[[#This Row],[Tarifa]]*Cliente2[[#This Row],[Ocupadas]]</f>
        <v>0</v>
      </c>
      <c r="G771" s="14">
        <v>46341</v>
      </c>
    </row>
    <row r="772" spans="1:7" hidden="1" x14ac:dyDescent="0.3">
      <c r="A772" t="str">
        <f t="shared" si="36"/>
        <v xml:space="preserve">Guatapé </v>
      </c>
      <c r="B772" t="str">
        <f t="shared" si="37"/>
        <v>Hotel Portobelo Guatape</v>
      </c>
      <c r="F772" s="15">
        <f>Cliente2[[#This Row],[Tarifa]]*Cliente2[[#This Row],[Ocupadas]]</f>
        <v>0</v>
      </c>
      <c r="G772" s="14">
        <v>46342</v>
      </c>
    </row>
    <row r="773" spans="1:7" hidden="1" x14ac:dyDescent="0.3">
      <c r="A773" t="str">
        <f t="shared" si="36"/>
        <v xml:space="preserve">Guatapé </v>
      </c>
      <c r="B773" t="str">
        <f t="shared" si="37"/>
        <v>Hotel Portobelo Guatape</v>
      </c>
      <c r="F773" s="15">
        <f>Cliente2[[#This Row],[Tarifa]]*Cliente2[[#This Row],[Ocupadas]]</f>
        <v>0</v>
      </c>
      <c r="G773" s="14">
        <v>46343</v>
      </c>
    </row>
    <row r="774" spans="1:7" hidden="1" x14ac:dyDescent="0.3">
      <c r="A774" t="str">
        <f t="shared" si="36"/>
        <v xml:space="preserve">Guatapé </v>
      </c>
      <c r="B774" t="str">
        <f t="shared" si="37"/>
        <v>Hotel Portobelo Guatape</v>
      </c>
      <c r="F774" s="15">
        <f>Cliente2[[#This Row],[Tarifa]]*Cliente2[[#This Row],[Ocupadas]]</f>
        <v>0</v>
      </c>
      <c r="G774" s="14">
        <v>46344</v>
      </c>
    </row>
    <row r="775" spans="1:7" hidden="1" x14ac:dyDescent="0.3">
      <c r="A775" t="str">
        <f t="shared" si="36"/>
        <v xml:space="preserve">Guatapé </v>
      </c>
      <c r="B775" t="str">
        <f t="shared" si="37"/>
        <v>Hotel Portobelo Guatape</v>
      </c>
      <c r="F775" s="15">
        <f>Cliente2[[#This Row],[Tarifa]]*Cliente2[[#This Row],[Ocupadas]]</f>
        <v>0</v>
      </c>
      <c r="G775" s="14">
        <v>46345</v>
      </c>
    </row>
    <row r="776" spans="1:7" hidden="1" x14ac:dyDescent="0.3">
      <c r="A776" t="str">
        <f t="shared" si="36"/>
        <v xml:space="preserve">Guatapé </v>
      </c>
      <c r="B776" t="str">
        <f t="shared" si="37"/>
        <v>Hotel Portobelo Guatape</v>
      </c>
      <c r="F776" s="15">
        <f>Cliente2[[#This Row],[Tarifa]]*Cliente2[[#This Row],[Ocupadas]]</f>
        <v>0</v>
      </c>
      <c r="G776" s="14">
        <v>46346</v>
      </c>
    </row>
  </sheetData>
  <hyperlinks>
    <hyperlink ref="B399" r:id="rId1" display="https://www.booking.com/hotel/co/san-simon-glamping.es.html?label=gog235jc-1DCAsoMkISc2FuLXNpbW9uLWdsYW1waW5nSApYA2gyiAEBmAEKuAEYyAEM2AED6AEB-AECiAIBqAIEuALKyvS5BsACAdICJGRhOWU1YjNmLTM5MzItNGIxZS1hMDUwLWYyYTRjMGYzNmY2NNgCBOACAQ&amp;sid=1ceb258b5da5325b1f375fc1eb8f6953&amp;aid=356980&amp;ucfs=1&amp;arphpl=1&amp;checkin=2024-11-21&amp;checkout=2024-11-22&amp;dest_id=-585862&amp;dest_type=city&amp;group_adults=1&amp;req_adults=1&amp;no_rooms=1&amp;group_children=0&amp;req_children=0&amp;hpos=1&amp;hapos=1&amp;sr_order=popularity&amp;srpvid=2454a8257e62031b&amp;srepoch=1732060537&amp;all_sr_blocks=1064978104_378886258_2_0_0&amp;highlighted_blocks=1064978104_378886258_2_0_0&amp;matching_block_id=1064978104_378886258_2_0_0&amp;sr_pri_blocks=1064978104_378886258_2_0_0__20800000&amp;from=searchresults" xr:uid="{F8B4B915-61DA-471E-A846-247AEA03EA76}"/>
    <hyperlink ref="B441" r:id="rId2" display="https://www.booking.com/hotel/co/glmping-5-elementos-el-penol-a-30-minutos-de-guatape.es.html?label=gog235jc-1DCAsoMkI0Z2xtcGluZy01LWVsZW1lbnRvcy1lbC1wZW5vbC1hLTMwLW1pbnV0b3MtZGUtZ3VhdGFwZUgKWANoMogBAZgBCrgBGMgBDNgBA-gBAfgBAogCAagCBLgCytH0uQbAAgHSAiQ1ZDRmYjA0Yi1kYjM4LTQ5YzctODI5ZC0yYTJlNzA0MDViNDDYAgTgAgE&amp;sid=1ceb258b5da5325b1f375fc1eb8f6953&amp;aid=356980&amp;ucfs=1&amp;arphpl=1&amp;checkin=2024-11-21&amp;checkout=2024-11-22&amp;dest_id=900058844&amp;dest_type=city&amp;group_adults=1&amp;req_adults=1&amp;no_rooms=1&amp;group_children=0&amp;req_children=0&amp;hpos=1&amp;hapos=1&amp;sr_order=popularity&amp;srpvid=52520125a579028e&amp;srepoch=1732061433&amp;all_sr_blocks=1261771001_401045264_2_1_0_637070&amp;highlighted_blocks=1261771001_401045264_2_1_0_637070&amp;matching_block_id=1261771001_401045264_2_1_0_637070&amp;sr_pri_blocks=1261771001_401045264_2_1_0_637070_30800000&amp;from_sustainable_property_sr=1&amp;from=searchresults" xr:uid="{9FCB6CD5-45EA-443C-A952-2AF60623615F}"/>
    <hyperlink ref="B483" r:id="rId3" display="https://www.booking.com/hotel/co/finca-con-jacuzzi-a-15min-de-guatape.es.html?label=gog235jc-1BCAsoMkIkZmluY2EtY29uLWphY3V6emktYS0xNW1pbi1kZS1ndWF0YXBlSFJYA2gyiAEBmAEKuAEYyAEM2AEB6AEBiAIBqAIEuAK80vS5BsACAdICJDRhZmQ0YTAxLWM0ZTgtNGNhZC04OGU1LTMzNDllMWZkN2U1M9gCBeACAQ&amp;sid=1ceb258b5da5325b1f375fc1eb8f6953&amp;aid=356980&amp;ucfs=1&amp;arphpl=1&amp;checkin=2024-11-21&amp;checkout=2024-11-22&amp;dest_id=900058844&amp;dest_type=city&amp;group_adults=1&amp;req_adults=1&amp;no_rooms=1&amp;group_children=1&amp;req_children=1&amp;age=0&amp;req_age=0&amp;hpos=1&amp;hapos=1&amp;sr_order=popularity&amp;srpvid=9fc2015f23080068&amp;srepoch=1732061550&amp;all_sr_blocks=1277805301_400689207_10_0_0&amp;highlighted_blocks=1277805301_400689207_10_0_0&amp;matching_block_id=1277805301_400689207_10_0_0&amp;sr_pri_blocks=1277805301_400689207_10_0_0__80000000&amp;from=searchresults" xr:uid="{7D4AC9F5-6A11-48E0-B173-3A25829AFA7C}"/>
    <hyperlink ref="B525" r:id="rId4" display="https://www.booking.com/hotel/co/finca-parcelacion-alemania-1.es.html?label=gog235jc-1BCAsoMkIcZmluY2EtcGFyY2VsYWNpb24tYWxlbWFuaWEtMUgEWANoMogBAZgBCrgBGMgBDNgBAegBAYgCAagCBLgCsNP0uQbAAgHSAiRmYzZlZGIyYS03MTgyLTQ5OGMtYmE5MC00YzE3ODAyNGEwNGLYAgXgAgE&amp;sid=1ceb258b5da5325b1f375fc1eb8f6953&amp;aid=356980&amp;ucfs=1&amp;arphpl=1&amp;checkin=2024-11-21&amp;checkout=2024-11-22&amp;dest_id=900058844&amp;dest_type=city&amp;group_adults=1&amp;req_adults=1&amp;no_rooms=1&amp;group_children=1&amp;req_children=1&amp;age=0&amp;req_age=0&amp;hpos=1&amp;hapos=1&amp;sr_order=popularity&amp;srpvid=c826019951a600bc&amp;srepoch=1732061666&amp;all_sr_blocks=1293010901_402244377_4_0_0&amp;highlighted_blocks=1293010901_402244377_4_0_0&amp;matching_block_id=1293010901_402244377_4_0_0&amp;sr_pri_blocks=1293010901_402244377_4_0_0__40000000&amp;from=searchresults" xr:uid="{B3296356-961D-405F-A78E-4BB85300611F}"/>
    <hyperlink ref="B273" r:id="rId5" display="https://www.booking.com/hotel/co/cabanas-navegar.es-mx.html?label=Spanish_Colombia_ES_CO_20153959105-JvWA_BiunE_YalmU9PDZ_QS640874832178%3Apl%3Ata%3Ap1%3Ap2%3Aac%3Aap%3Aneg%3Afi%3Atidsa-162435870265%3Alp20198%3Ali%3Adec%3Adm%3Aag20153959105%3Acmp313803625&amp;sid=1ceb258b5da5325b1f375fc1eb8f6953&amp;aid=318615&amp;ucfs=1&amp;arphpl=1&amp;checkin=2025-01-16&amp;checkout=2025-01-17&amp;dest_id=-585862&amp;dest_type=city&amp;group_adults=2&amp;req_adults=2&amp;no_rooms=1&amp;group_children=1&amp;req_children=1&amp;age=1&amp;req_age=1&amp;hpos=1&amp;hapos=1&amp;sr_order=popularity&amp;srpvid=93d05827e77d073c&amp;srepoch=1734611241&amp;all_sr_blocks=953678210_384057531_5_0_0&amp;highlighted_blocks=953678210_384057531_5_0_0&amp;matching_block_id=953678210_384057531_5_0_0&amp;sr_pri_blocks=953678210_384057531_5_0_0__31900000&amp;from=searchresults" xr:uid="{85293BBC-9896-4106-BF71-55444FC76ADA}"/>
    <hyperlink ref="B735" r:id="rId6" display="https://www.booking.com/hotel/co/portobelo-guatape.es.html?label=English_Colombia_EN_CO_29562107545-_WDZKP6aira3zHoJLRwvgQS217246346796%3Apl%3Ata%3Ap1%3Ap2%3Aac%3Aap%3Aneg%3Afi55625023303%3Atidsa-323233910078%3Alp20198%3Ali%3Adec%3Adm&amp;sid=93fa566f322f808be7ab10c4661acff5&amp;aid=318615&amp;ucfs=1&amp;arphpl=1&amp;group_adults=2&amp;req_adults=2&amp;no_rooms=1&amp;group_children=0&amp;req_children=0&amp;hpos=8&amp;hapos=8&amp;sr_order=distance_from_search&amp;srpvid=229b6189d75b001e&amp;srepoch=1739800347&amp;from=searchresults" xr:uid="{7B02ABFE-4ADB-489E-9430-90D746DDC150}"/>
    <hyperlink ref="B315" r:id="rId7" display="https://www.booking.com/hotel/co/omaga.es.html?label=metagha-link-LUCO-hotel-6316547_dev-desktop_los-1_bw-9_dow-Thursday_defdate-0_room-0_gstadt-2_rateid-public_aud-0_gacid-21415124842_mcid-10_ppa-0_clrid-0_ad-1_gstkid-0_checkin-20241128_ppt-Co_lp-2170_r-4994707831949072125&amp;sid=1ceb258b5da5325b1f375fc1eb8f6953&amp;utm_source=metagha&amp;utm_medium=localuniversal&amp;utm_term=hotel-6316547&amp;utm_content=dev-desktop_los-1_bw-9_dow-Thursday_defdate-0_room-0_gstadt-2_rateid-public_aud-0_gacid-21415124842_mcid-10_ppa-0_clrid-0_ad-1_gstkid-0_checkin-20241128_ppt-Co&amp;utm_campaign=CO&amp;gclid=Cj0KCQiAi_G5BhDXARIsAN5SX7o45HMfbv9Du7i_-j1GdzKiVOFGIyr1YKksvuiXYTylNBYLKm0yOdcaAtpSEALw_wcB&amp;aid=356938&amp;ucfs=1&amp;arphpl=1&amp;checkin=2024-11-28&amp;checkout=2024-11-29&amp;dest_id=900058844&amp;dest_type=city&amp;group_adults=2&amp;req_adults=2&amp;no_rooms=1&amp;group_children=0&amp;req_children=0&amp;hpos=1&amp;hapos=1&amp;sr_order=popularity&amp;srpvid=e982a5d7809901c1&amp;srepoch=1732059371&amp;all_sr_blocks=631654701_403431312_2_2_0_703336&amp;highlighted_blocks=631654701_403431312_2_2_0_703336&amp;matching_block_id=631654701_403431312_2_2_0_703336&amp;sr_pri_blocks=631654701_403431312_2_2_0_703336_13440000&amp;from=searchresults" xr:uid="{1D296D33-ADC5-46D5-AE35-4086ADF27066}"/>
  </hyperlinks>
  <pageMargins left="0.7" right="0.7" top="0.75" bottom="0.75" header="0.3" footer="0.3"/>
  <pageSetup orientation="portrait" r:id="rId8"/>
  <tableParts count="1"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Cliente</vt:lpstr>
      <vt:lpstr>Competencia</vt:lpstr>
      <vt:lpstr>provisional_template</vt:lpstr>
      <vt:lpstr>Clientes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Gutierrez</dc:creator>
  <cp:lastModifiedBy>julian caicedo</cp:lastModifiedBy>
  <dcterms:created xsi:type="dcterms:W3CDTF">2024-11-04T15:55:22Z</dcterms:created>
  <dcterms:modified xsi:type="dcterms:W3CDTF">2026-01-22T14:49:09Z</dcterms:modified>
</cp:coreProperties>
</file>